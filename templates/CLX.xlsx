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codeName="ThisWorkbook" defaultThemeVersion="124226"/>
  <mc:AlternateContent xmlns:mc="http://schemas.openxmlformats.org/markup-compatibility/2006">
    <mc:Choice Requires="x15">
      <x15ac:absPath xmlns:x15ac="http://schemas.microsoft.com/office/spreadsheetml/2010/11/ac" url="/Users/mylove/Downloads/"/>
    </mc:Choice>
  </mc:AlternateContent>
  <xr:revisionPtr revIDLastSave="0" documentId="13_ncr:1_{E0C05CA5-2D21-C745-9717-8EFA7C0A3AB5}" xr6:coauthVersionLast="47" xr6:coauthVersionMax="47" xr10:uidLastSave="{00000000-0000-0000-0000-000000000000}"/>
  <bookViews>
    <workbookView xWindow="0" yWindow="600" windowWidth="25600" windowHeight="14280" activeTab="4" xr2:uid="{00000000-000D-0000-FFFF-FFFF00000000}"/>
  </bookViews>
  <sheets>
    <sheet name="揭露" sheetId="26" state="veryHidden" r:id="rId1"/>
    <sheet name="P_DATA" sheetId="25" state="veryHidden" r:id="rId2"/>
    <sheet name="OP" sheetId="22" state="veryHidden" r:id="rId3"/>
    <sheet name="輸入頁" sheetId="9" r:id="rId4"/>
    <sheet name="列印頁" sheetId="15" r:id="rId5"/>
  </sheets>
  <definedNames>
    <definedName name="BD">輸入頁!$E$7</definedName>
    <definedName name="BGP">OP!$C$30</definedName>
    <definedName name="CV">P_DATA!$V$273:$EC$539</definedName>
    <definedName name="DIE">P_DATA!$EI$2:$IP$268</definedName>
    <definedName name="EXP">P_DATA!$V$2:$EC$268</definedName>
    <definedName name="GP">P_DATA!$J:$K</definedName>
    <definedName name="IN">輸入頁!$E$5</definedName>
    <definedName name="MGP">OP!$C$35</definedName>
    <definedName name="PA">P_DATA!$EI$273:$IP$539</definedName>
    <definedName name="PI">OP!$AK$4:$AL$90</definedName>
    <definedName name="PM">輸入頁!$E$16</definedName>
    <definedName name="_xlnm.Print_Area" localSheetId="4">列印頁!$A$1:$V$229</definedName>
    <definedName name="_xlnm.Print_Area" localSheetId="3">輸入頁!$A$1:$T$34</definedName>
    <definedName name="PVal">P_DATA!$O:$P</definedName>
    <definedName name="SEX">輸入頁!$K$5</definedName>
    <definedName name="WORDING">OP!$P$2:$Q$20</definedName>
    <definedName name="WORDINGP">OP!$AD$2:$AE$41</definedName>
    <definedName name="YPN">輸入頁!$D$24</definedName>
    <definedName name="主約1">OP!$H$43:$H$45</definedName>
    <definedName name="保額倍數">OP!$B$87:$C$197</definedName>
    <definedName name="繳">OP!$H$17:$H$21</definedName>
    <definedName name="繳別首">OP!$L$31:$L$35</definedName>
    <definedName name="繳別續">OP!$M$31:$M$35</definedName>
  </definedNames>
  <calcPr calcId="191029"/>
  <webPublishObjects count="1">
    <webPublishObject id="30313" divId="e-test0804_30313" destinationFile="D:\Documents and Settings\Administrator.NONE-7C44F5C952\桌面\自製試算表\e-test0804.htm"/>
  </webPublishObject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3" i="22" l="1"/>
  <c r="V3" i="25"/>
  <c r="V4" i="25"/>
  <c r="V5" i="25"/>
  <c r="V6" i="25"/>
  <c r="V7" i="25"/>
  <c r="V8" i="25"/>
  <c r="V9" i="25"/>
  <c r="V10" i="25"/>
  <c r="V11" i="25"/>
  <c r="V12" i="25"/>
  <c r="V13" i="25"/>
  <c r="V14" i="25"/>
  <c r="V15" i="25"/>
  <c r="V16" i="25"/>
  <c r="V17" i="25"/>
  <c r="V18" i="25"/>
  <c r="V19" i="25"/>
  <c r="V20" i="25"/>
  <c r="V21" i="25"/>
  <c r="V22" i="25"/>
  <c r="V23" i="25"/>
  <c r="V24" i="25"/>
  <c r="V25" i="25"/>
  <c r="V26" i="25"/>
  <c r="V27" i="25"/>
  <c r="V28" i="25"/>
  <c r="V29" i="25"/>
  <c r="V30" i="25"/>
  <c r="V31" i="25"/>
  <c r="V32" i="25"/>
  <c r="V33" i="25"/>
  <c r="V34" i="25"/>
  <c r="V35" i="25"/>
  <c r="V36" i="25"/>
  <c r="V37" i="25"/>
  <c r="V38" i="25"/>
  <c r="V39" i="25"/>
  <c r="V40" i="25"/>
  <c r="V41" i="25"/>
  <c r="V42" i="25"/>
  <c r="V43" i="25"/>
  <c r="V44" i="25"/>
  <c r="V45" i="25"/>
  <c r="V46" i="25"/>
  <c r="V47" i="25"/>
  <c r="V48" i="25"/>
  <c r="V49" i="25"/>
  <c r="V50" i="25"/>
  <c r="V51" i="25"/>
  <c r="V52" i="25"/>
  <c r="V53" i="25"/>
  <c r="V54" i="25"/>
  <c r="V55" i="25"/>
  <c r="V56" i="25"/>
  <c r="V57" i="25"/>
  <c r="V58" i="25"/>
  <c r="V59" i="25"/>
  <c r="V60" i="25"/>
  <c r="V61" i="25"/>
  <c r="V62" i="25"/>
  <c r="V63" i="25"/>
  <c r="V64" i="25"/>
  <c r="V65" i="25"/>
  <c r="V66" i="25"/>
  <c r="V67" i="25"/>
  <c r="V68" i="25"/>
  <c r="V69" i="25"/>
  <c r="V70" i="25"/>
  <c r="V71" i="25"/>
  <c r="V72" i="25"/>
  <c r="V73" i="25"/>
  <c r="V74" i="25"/>
  <c r="V75" i="25"/>
  <c r="V76" i="25"/>
  <c r="V77" i="25"/>
  <c r="V78" i="25"/>
  <c r="J3" i="25"/>
  <c r="J4" i="25"/>
  <c r="J5" i="25"/>
  <c r="J6" i="25"/>
  <c r="J7" i="25"/>
  <c r="J8" i="25"/>
  <c r="J9" i="25"/>
  <c r="J10"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46" i="25"/>
  <c r="J47" i="25"/>
  <c r="J48" i="25"/>
  <c r="J49" i="25"/>
  <c r="J50" i="25"/>
  <c r="J51" i="25"/>
  <c r="J52" i="25"/>
  <c r="J53" i="25"/>
  <c r="J54" i="25"/>
  <c r="J55" i="25"/>
  <c r="J56" i="25"/>
  <c r="J57" i="25"/>
  <c r="J58" i="25"/>
  <c r="J59" i="25"/>
  <c r="J60" i="25"/>
  <c r="J61" i="25"/>
  <c r="J62" i="25"/>
  <c r="J63" i="25"/>
  <c r="J64" i="25"/>
  <c r="J65" i="25"/>
  <c r="J66" i="25"/>
  <c r="J67" i="25"/>
  <c r="J68" i="25"/>
  <c r="J69" i="25"/>
  <c r="J70" i="25"/>
  <c r="J71" i="25"/>
  <c r="J72" i="25"/>
  <c r="J73" i="25"/>
  <c r="J74" i="25"/>
  <c r="J75" i="25"/>
  <c r="J76" i="25"/>
  <c r="J77" i="25"/>
  <c r="J78" i="25"/>
  <c r="EI3" i="25"/>
  <c r="EI4" i="25"/>
  <c r="EI5" i="25"/>
  <c r="EI6" i="25"/>
  <c r="EI7" i="25"/>
  <c r="EI8" i="25"/>
  <c r="EI9" i="25"/>
  <c r="EI10" i="25"/>
  <c r="EI11" i="25"/>
  <c r="EI12" i="25"/>
  <c r="EI13" i="25"/>
  <c r="EI14" i="25"/>
  <c r="EI15" i="25"/>
  <c r="EI16" i="25"/>
  <c r="EI17" i="25"/>
  <c r="EI18" i="25"/>
  <c r="EI19" i="25"/>
  <c r="EI20" i="25"/>
  <c r="EI21" i="25"/>
  <c r="EI22" i="25"/>
  <c r="EI23" i="25"/>
  <c r="EI24" i="25"/>
  <c r="EI25" i="25"/>
  <c r="EI26" i="25"/>
  <c r="EI27" i="25"/>
  <c r="EI28" i="25"/>
  <c r="EI29" i="25"/>
  <c r="EI30" i="25"/>
  <c r="EI31" i="25"/>
  <c r="EI32" i="25"/>
  <c r="EI33" i="25"/>
  <c r="EI34" i="25"/>
  <c r="EI35" i="25"/>
  <c r="EI36" i="25"/>
  <c r="EI37" i="25"/>
  <c r="EI38" i="25"/>
  <c r="EI39" i="25"/>
  <c r="EI40" i="25"/>
  <c r="EI41" i="25"/>
  <c r="EI42" i="25"/>
  <c r="EI43" i="25"/>
  <c r="EI44" i="25"/>
  <c r="EI45" i="25"/>
  <c r="EI46" i="25"/>
  <c r="EI47" i="25"/>
  <c r="EI48" i="25"/>
  <c r="EI49" i="25"/>
  <c r="EI50" i="25"/>
  <c r="EI51" i="25"/>
  <c r="EI52" i="25"/>
  <c r="EI53" i="25"/>
  <c r="EI54" i="25"/>
  <c r="EI55" i="25"/>
  <c r="EI56" i="25"/>
  <c r="EI57" i="25"/>
  <c r="EI58" i="25"/>
  <c r="EI59" i="25"/>
  <c r="EI60" i="25"/>
  <c r="EI61" i="25"/>
  <c r="EI62" i="25"/>
  <c r="EI63" i="25"/>
  <c r="EI64" i="25"/>
  <c r="EI65" i="25"/>
  <c r="EI66" i="25"/>
  <c r="EI67" i="25"/>
  <c r="EI68" i="25"/>
  <c r="EI69" i="25"/>
  <c r="EI70" i="25"/>
  <c r="EI71" i="25"/>
  <c r="EI72" i="25"/>
  <c r="EI73" i="25"/>
  <c r="EI74" i="25"/>
  <c r="EI75" i="25"/>
  <c r="EI76" i="25"/>
  <c r="EI77" i="25"/>
  <c r="EI78" i="25"/>
  <c r="C216" i="15"/>
  <c r="C215" i="15"/>
  <c r="C214" i="15"/>
  <c r="C213" i="15"/>
  <c r="C212" i="15"/>
  <c r="C211" i="15"/>
  <c r="C210" i="15"/>
  <c r="C209" i="15"/>
  <c r="C208" i="15"/>
  <c r="C207" i="15"/>
  <c r="C206" i="15"/>
  <c r="C205" i="15"/>
  <c r="C204" i="15"/>
  <c r="C203" i="15"/>
  <c r="C202" i="15"/>
  <c r="C201" i="15"/>
  <c r="C200" i="15"/>
  <c r="C199" i="15"/>
  <c r="C198" i="15"/>
  <c r="C197" i="15"/>
  <c r="C196" i="15"/>
  <c r="C195" i="15"/>
  <c r="C194" i="15"/>
  <c r="C193" i="15"/>
  <c r="C192" i="15"/>
  <c r="C191" i="15"/>
  <c r="C190" i="15"/>
  <c r="C189" i="15"/>
  <c r="C188" i="15"/>
  <c r="C187" i="15"/>
  <c r="C186" i="15"/>
  <c r="C185" i="15"/>
  <c r="C184" i="15"/>
  <c r="C183" i="15"/>
  <c r="C182" i="15"/>
  <c r="C181" i="15"/>
  <c r="C180" i="15"/>
  <c r="C179" i="15"/>
  <c r="C178" i="15"/>
  <c r="B177" i="15"/>
  <c r="B115" i="15"/>
  <c r="U113" i="15"/>
  <c r="U46" i="15"/>
  <c r="U18" i="15"/>
  <c r="D174" i="15" l="1"/>
  <c r="I25" i="22" l="1"/>
  <c r="E38" i="22" s="1"/>
  <c r="J11" i="22"/>
  <c r="I11" i="22"/>
  <c r="L11" i="22" s="1"/>
  <c r="L9" i="22"/>
  <c r="N11" i="22" l="1"/>
  <c r="M11" i="22"/>
  <c r="K11" i="22"/>
  <c r="U228" i="15" l="1"/>
  <c r="V2" i="25" l="1"/>
  <c r="EI2" i="25"/>
  <c r="O2" i="25"/>
  <c r="EI273" i="25"/>
  <c r="V273" i="25"/>
  <c r="B2" i="9" l="1"/>
  <c r="D102" i="22" l="1"/>
  <c r="J2" i="25" l="1"/>
  <c r="EI272" i="25" l="1"/>
  <c r="V272" i="25"/>
  <c r="D1" i="26" l="1"/>
  <c r="K4" i="26" s="1"/>
  <c r="O1" i="25" l="1"/>
  <c r="C94" i="22" l="1"/>
  <c r="D94" i="22" s="1"/>
  <c r="Q4" i="15" s="1"/>
  <c r="R5" i="9" l="1"/>
  <c r="D13" i="9" l="1"/>
  <c r="C159" i="22"/>
  <c r="C153" i="22"/>
  <c r="E150" i="22"/>
  <c r="C150" i="22" s="1"/>
  <c r="D158" i="22"/>
  <c r="B156" i="22" s="1"/>
  <c r="E156" i="22"/>
  <c r="D134" i="22"/>
  <c r="D107" i="22"/>
  <c r="D106" i="22"/>
  <c r="D101" i="22"/>
  <c r="B170" i="15" s="1"/>
  <c r="D100" i="22"/>
  <c r="D96" i="22"/>
  <c r="C22" i="22"/>
  <c r="B173" i="15" l="1"/>
  <c r="B111" i="15"/>
  <c r="D45" i="15"/>
  <c r="D112" i="15"/>
  <c r="M43" i="22"/>
  <c r="B44" i="15"/>
  <c r="C24" i="22"/>
  <c r="D159" i="22"/>
  <c r="O15" i="9" s="1"/>
  <c r="D152" i="22"/>
  <c r="B152" i="22"/>
  <c r="E153" i="22" s="1"/>
  <c r="E24" i="22" l="1"/>
  <c r="C56" i="22"/>
  <c r="C58" i="22"/>
  <c r="E152" i="22"/>
  <c r="E154" i="22" s="1"/>
  <c r="E155" i="22" s="1"/>
  <c r="B95" i="22" l="1"/>
  <c r="D95" i="22" s="1"/>
  <c r="D121" i="22"/>
  <c r="D105" i="22"/>
  <c r="D156" i="22"/>
  <c r="C152" i="22"/>
  <c r="U112" i="15" l="1"/>
  <c r="U174" i="15"/>
  <c r="U45" i="15"/>
  <c r="D98" i="22"/>
  <c r="D97" i="22"/>
  <c r="D154" i="22"/>
  <c r="I14" i="9" s="1"/>
  <c r="D155" i="22"/>
  <c r="C28" i="22"/>
  <c r="C64" i="22"/>
  <c r="J1" i="25"/>
  <c r="C72" i="22"/>
  <c r="E76" i="22" s="1"/>
  <c r="EI1" i="25"/>
  <c r="AL2" i="22"/>
  <c r="AK37" i="22" s="1"/>
  <c r="C10" i="22"/>
  <c r="C4" i="22" s="1"/>
  <c r="B3" i="22" s="1"/>
  <c r="E4" i="22" s="1"/>
  <c r="C18" i="22"/>
  <c r="D18" i="22" s="1"/>
  <c r="D19" i="22" s="1"/>
  <c r="C32" i="22"/>
  <c r="R5" i="15" s="1"/>
  <c r="C41" i="22"/>
  <c r="C43" i="22"/>
  <c r="C40" i="22" s="1"/>
  <c r="AD59" i="22"/>
  <c r="AD60" i="22"/>
  <c r="AD61" i="22"/>
  <c r="AD62" i="22"/>
  <c r="AD63" i="22"/>
  <c r="AD64" i="22"/>
  <c r="AD65" i="22"/>
  <c r="AD66" i="22"/>
  <c r="AD67" i="22"/>
  <c r="AD68" i="22"/>
  <c r="AD69" i="22"/>
  <c r="P22" i="22"/>
  <c r="P21" i="22"/>
  <c r="P20" i="22"/>
  <c r="P10" i="22"/>
  <c r="P11" i="22"/>
  <c r="P12" i="22"/>
  <c r="P13" i="22"/>
  <c r="P14" i="22"/>
  <c r="D11" i="22"/>
  <c r="D12" i="22"/>
  <c r="D33" i="22"/>
  <c r="P15" i="22"/>
  <c r="P16" i="22"/>
  <c r="P17" i="22"/>
  <c r="P18" i="22"/>
  <c r="P19" i="22"/>
  <c r="V1" i="25"/>
  <c r="AD2" i="22"/>
  <c r="AD10" i="22"/>
  <c r="AD50" i="22"/>
  <c r="AD51" i="22"/>
  <c r="AD52" i="22"/>
  <c r="AD53" i="22"/>
  <c r="AD54" i="22"/>
  <c r="AD55" i="22"/>
  <c r="AD56" i="22"/>
  <c r="AD57" i="22"/>
  <c r="I61" i="22"/>
  <c r="AD58" i="22"/>
  <c r="B2" i="15"/>
  <c r="B33" i="9"/>
  <c r="B16" i="22"/>
  <c r="D21" i="22"/>
  <c r="P4" i="15"/>
  <c r="AD3" i="22"/>
  <c r="AD4" i="22"/>
  <c r="AD5" i="22"/>
  <c r="AD6" i="22"/>
  <c r="AD7" i="22"/>
  <c r="AD8" i="22"/>
  <c r="AD9"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K90" i="22"/>
  <c r="D22" i="22"/>
  <c r="C45" i="22" l="1"/>
  <c r="D45" i="22" s="1"/>
  <c r="E82" i="22"/>
  <c r="B74" i="22" s="1"/>
  <c r="C74" i="22" s="1"/>
  <c r="C82" i="22"/>
  <c r="E75" i="22"/>
  <c r="E74" i="22"/>
  <c r="C81" i="22"/>
  <c r="C73" i="22"/>
  <c r="D4" i="15" s="1"/>
  <c r="AK82" i="22"/>
  <c r="AK42" i="22"/>
  <c r="AK43" i="22"/>
  <c r="AK81" i="22"/>
  <c r="D64" i="22"/>
  <c r="E64" i="22" s="1"/>
  <c r="D10" i="22"/>
  <c r="C156" i="22"/>
  <c r="E157" i="22"/>
  <c r="D3" i="22"/>
  <c r="E3" i="22"/>
  <c r="H55" i="22"/>
  <c r="C26" i="22" s="1"/>
  <c r="J25" i="9" s="1"/>
  <c r="M33" i="22"/>
  <c r="AK39" i="22"/>
  <c r="AK86" i="22"/>
  <c r="C38" i="22"/>
  <c r="I12" i="22" s="1"/>
  <c r="AK40" i="22"/>
  <c r="AK79" i="22"/>
  <c r="AK80" i="22"/>
  <c r="AK89" i="22"/>
  <c r="AK38" i="22"/>
  <c r="AK45" i="22"/>
  <c r="AK44" i="22"/>
  <c r="AK88" i="22"/>
  <c r="AK84" i="22"/>
  <c r="AK87" i="22"/>
  <c r="AK4" i="22"/>
  <c r="AK5" i="22" s="1"/>
  <c r="AK41" i="22"/>
  <c r="AK83" i="22"/>
  <c r="AK85" i="22"/>
  <c r="Q33" i="9"/>
  <c r="M31" i="22"/>
  <c r="T18" i="9" s="1"/>
  <c r="I36" i="22"/>
  <c r="H20" i="22"/>
  <c r="M32" i="22"/>
  <c r="L34" i="22"/>
  <c r="I35" i="22"/>
  <c r="H17" i="22"/>
  <c r="I34" i="22"/>
  <c r="H21" i="22"/>
  <c r="P18" i="9"/>
  <c r="M35" i="22"/>
  <c r="C39" i="22"/>
  <c r="J12" i="22" s="1"/>
  <c r="C15" i="22"/>
  <c r="D4" i="22" s="1"/>
  <c r="H18" i="22"/>
  <c r="P16" i="9"/>
  <c r="H19" i="22"/>
  <c r="L35" i="22"/>
  <c r="I33" i="22"/>
  <c r="I31" i="22"/>
  <c r="I37" i="22"/>
  <c r="M34" i="22"/>
  <c r="B1" i="26"/>
  <c r="I32" i="22"/>
  <c r="C16" i="22"/>
  <c r="I13" i="22" l="1"/>
  <c r="J13" i="22"/>
  <c r="K12" i="22"/>
  <c r="L12" i="22"/>
  <c r="L13" i="22"/>
  <c r="D86" i="22"/>
  <c r="E86" i="22" s="1"/>
  <c r="L140" i="26"/>
  <c r="L90" i="26"/>
  <c r="L308" i="26"/>
  <c r="L330" i="26"/>
  <c r="L13" i="26"/>
  <c r="L232" i="26"/>
  <c r="L45" i="26"/>
  <c r="L218" i="26"/>
  <c r="L319" i="26"/>
  <c r="L271" i="26"/>
  <c r="L223" i="26"/>
  <c r="L175" i="26"/>
  <c r="L127" i="26"/>
  <c r="L79" i="26"/>
  <c r="L31" i="26"/>
  <c r="L309" i="26"/>
  <c r="L261" i="26"/>
  <c r="L213" i="26"/>
  <c r="L165" i="26"/>
  <c r="L46" i="26"/>
  <c r="L40" i="26"/>
  <c r="L268" i="26"/>
  <c r="L174" i="26"/>
  <c r="L58" i="26"/>
  <c r="L28" i="26"/>
  <c r="L192" i="26"/>
  <c r="L294" i="26"/>
  <c r="L117" i="26"/>
  <c r="L154" i="26"/>
  <c r="L80" i="26"/>
  <c r="L38" i="26"/>
  <c r="L74" i="26"/>
  <c r="L250" i="26"/>
  <c r="L263" i="26"/>
  <c r="L167" i="26"/>
  <c r="L119" i="26"/>
  <c r="L23" i="26"/>
  <c r="L253" i="26"/>
  <c r="L157" i="26"/>
  <c r="L66" i="26"/>
  <c r="L206" i="26"/>
  <c r="L224" i="26"/>
  <c r="L194" i="26"/>
  <c r="L244" i="26"/>
  <c r="L307" i="26"/>
  <c r="L19" i="26"/>
  <c r="L85" i="26"/>
  <c r="L240" i="26"/>
  <c r="L7" i="26"/>
  <c r="L52" i="26"/>
  <c r="L81" i="26"/>
  <c r="L17" i="26"/>
  <c r="L248" i="26"/>
  <c r="L64" i="26"/>
  <c r="L234" i="26"/>
  <c r="L315" i="26"/>
  <c r="L267" i="26"/>
  <c r="L219" i="26"/>
  <c r="L171" i="26"/>
  <c r="L123" i="26"/>
  <c r="L75" i="26"/>
  <c r="L27" i="26"/>
  <c r="L305" i="26"/>
  <c r="L257" i="26"/>
  <c r="L209" i="26"/>
  <c r="L161" i="26"/>
  <c r="L65" i="26"/>
  <c r="L56" i="26"/>
  <c r="L284" i="26"/>
  <c r="L190" i="26"/>
  <c r="L148" i="26"/>
  <c r="L41" i="26"/>
  <c r="L208" i="26"/>
  <c r="L34" i="26"/>
  <c r="L178" i="26"/>
  <c r="L262" i="26"/>
  <c r="L128" i="26"/>
  <c r="L260" i="26"/>
  <c r="L264" i="26"/>
  <c r="L311" i="26"/>
  <c r="L215" i="26"/>
  <c r="L71" i="26"/>
  <c r="L301" i="26"/>
  <c r="L205" i="26"/>
  <c r="L84" i="26"/>
  <c r="L300" i="26"/>
  <c r="L110" i="26"/>
  <c r="L49" i="26"/>
  <c r="L96" i="26"/>
  <c r="L53" i="26"/>
  <c r="L130" i="26"/>
  <c r="L93" i="26"/>
  <c r="L163" i="26"/>
  <c r="L249" i="26"/>
  <c r="L316" i="26"/>
  <c r="L9" i="26"/>
  <c r="L324" i="26"/>
  <c r="L109" i="26"/>
  <c r="L230" i="26"/>
  <c r="L73" i="26"/>
  <c r="L296" i="26"/>
  <c r="L112" i="26"/>
  <c r="L282" i="26"/>
  <c r="L303" i="26"/>
  <c r="L255" i="26"/>
  <c r="L207" i="26"/>
  <c r="L159" i="26"/>
  <c r="L111" i="26"/>
  <c r="L63" i="26"/>
  <c r="L15" i="26"/>
  <c r="L293" i="26"/>
  <c r="L245" i="26"/>
  <c r="L197" i="26"/>
  <c r="L149" i="26"/>
  <c r="L113" i="26"/>
  <c r="L104" i="26"/>
  <c r="L332" i="26"/>
  <c r="L238" i="26"/>
  <c r="L278" i="26"/>
  <c r="L78" i="26"/>
  <c r="L256" i="26"/>
  <c r="L160" i="26"/>
  <c r="L226" i="26"/>
  <c r="L22" i="26"/>
  <c r="L292" i="26"/>
  <c r="L11" i="26"/>
  <c r="L24" i="26"/>
  <c r="L92" i="26"/>
  <c r="L312" i="26"/>
  <c r="L122" i="26"/>
  <c r="L298" i="26"/>
  <c r="L299" i="26"/>
  <c r="L251" i="26"/>
  <c r="L203" i="26"/>
  <c r="L155" i="26"/>
  <c r="L107" i="26"/>
  <c r="L59" i="26"/>
  <c r="L337" i="26"/>
  <c r="L289" i="26"/>
  <c r="L241" i="26"/>
  <c r="L193" i="26"/>
  <c r="L145" i="26"/>
  <c r="L134" i="26"/>
  <c r="L114" i="26"/>
  <c r="L20" i="26"/>
  <c r="L254" i="26"/>
  <c r="L6" i="26"/>
  <c r="L97" i="26"/>
  <c r="L272" i="26"/>
  <c r="L8" i="26"/>
  <c r="L36" i="26"/>
  <c r="L164" i="26"/>
  <c r="L29" i="26"/>
  <c r="L72" i="26"/>
  <c r="L102" i="26"/>
  <c r="L328" i="26"/>
  <c r="L132" i="26"/>
  <c r="L314" i="26"/>
  <c r="L295" i="26"/>
  <c r="L247" i="26"/>
  <c r="L199" i="26"/>
  <c r="L151" i="26"/>
  <c r="L103" i="26"/>
  <c r="L55" i="26"/>
  <c r="L333" i="26"/>
  <c r="L285" i="26"/>
  <c r="L237" i="26"/>
  <c r="L189" i="26"/>
  <c r="L141" i="26"/>
  <c r="L146" i="26"/>
  <c r="L172" i="26"/>
  <c r="L33" i="26"/>
  <c r="L270" i="26"/>
  <c r="L12" i="26"/>
  <c r="L116" i="26"/>
  <c r="L288" i="26"/>
  <c r="L21" i="26"/>
  <c r="L258" i="26"/>
  <c r="L60" i="26"/>
  <c r="L212" i="26"/>
  <c r="L168" i="26"/>
  <c r="L156" i="26"/>
  <c r="L239" i="26"/>
  <c r="L143" i="26"/>
  <c r="L47" i="26"/>
  <c r="L277" i="26"/>
  <c r="L181" i="26"/>
  <c r="L166" i="26"/>
  <c r="L76" i="26"/>
  <c r="L77" i="26"/>
  <c r="L320" i="26"/>
  <c r="L50" i="26"/>
  <c r="L89" i="26"/>
  <c r="L280" i="26"/>
  <c r="L211" i="26"/>
  <c r="L297" i="26"/>
  <c r="L94" i="26"/>
  <c r="L198" i="26"/>
  <c r="L125" i="26"/>
  <c r="L242" i="26"/>
  <c r="L180" i="26"/>
  <c r="L152" i="26"/>
  <c r="L82" i="26"/>
  <c r="L121" i="26"/>
  <c r="L214" i="26"/>
  <c r="L144" i="26"/>
  <c r="L339" i="26"/>
  <c r="L291" i="26"/>
  <c r="L243" i="26"/>
  <c r="L195" i="26"/>
  <c r="L147" i="26"/>
  <c r="L99" i="26"/>
  <c r="L51" i="26"/>
  <c r="L329" i="26"/>
  <c r="L281" i="26"/>
  <c r="L233" i="26"/>
  <c r="L185" i="26"/>
  <c r="L137" i="26"/>
  <c r="L158" i="26"/>
  <c r="L188" i="26"/>
  <c r="L57" i="26"/>
  <c r="L286" i="26"/>
  <c r="L48" i="26"/>
  <c r="L126" i="26"/>
  <c r="L304" i="26"/>
  <c r="L42" i="26"/>
  <c r="L274" i="26"/>
  <c r="L70" i="26"/>
  <c r="L30" i="26"/>
  <c r="L101" i="26"/>
  <c r="L246" i="26"/>
  <c r="L335" i="26"/>
  <c r="L287" i="26"/>
  <c r="L191" i="26"/>
  <c r="L95" i="26"/>
  <c r="L325" i="26"/>
  <c r="L229" i="26"/>
  <c r="L133" i="26"/>
  <c r="L204" i="26"/>
  <c r="L302" i="26"/>
  <c r="L138" i="26"/>
  <c r="L290" i="26"/>
  <c r="L54" i="26"/>
  <c r="L259" i="26"/>
  <c r="L67" i="26"/>
  <c r="L153" i="26"/>
  <c r="L68" i="26"/>
  <c r="L62" i="26"/>
  <c r="L44" i="26"/>
  <c r="L120" i="26"/>
  <c r="L184" i="26"/>
  <c r="L37" i="26"/>
  <c r="L170" i="26"/>
  <c r="L331" i="26"/>
  <c r="L283" i="26"/>
  <c r="L235" i="26"/>
  <c r="L187" i="26"/>
  <c r="L139" i="26"/>
  <c r="L91" i="26"/>
  <c r="L43" i="26"/>
  <c r="L321" i="26"/>
  <c r="L273" i="26"/>
  <c r="L225" i="26"/>
  <c r="L177" i="26"/>
  <c r="L129" i="26"/>
  <c r="L310" i="26"/>
  <c r="L220" i="26"/>
  <c r="L86" i="26"/>
  <c r="L318" i="26"/>
  <c r="L106" i="26"/>
  <c r="L150" i="26"/>
  <c r="L336" i="26"/>
  <c r="L69" i="26"/>
  <c r="L306" i="26"/>
  <c r="L108" i="26"/>
  <c r="L61" i="26"/>
  <c r="L326" i="26"/>
  <c r="L32" i="26"/>
  <c r="L323" i="26"/>
  <c r="L227" i="26"/>
  <c r="L131" i="26"/>
  <c r="L35" i="26"/>
  <c r="L265" i="26"/>
  <c r="L25" i="26"/>
  <c r="L252" i="26"/>
  <c r="L4" i="26"/>
  <c r="L176" i="26"/>
  <c r="L98" i="26"/>
  <c r="L338" i="26"/>
  <c r="L16" i="26"/>
  <c r="L266" i="26"/>
  <c r="L115" i="26"/>
  <c r="L201" i="26"/>
  <c r="L222" i="26"/>
  <c r="L210" i="26"/>
  <c r="L228" i="26"/>
  <c r="L196" i="26"/>
  <c r="L142" i="26"/>
  <c r="L200" i="26"/>
  <c r="L18" i="26"/>
  <c r="L186" i="26"/>
  <c r="L327" i="26"/>
  <c r="L279" i="26"/>
  <c r="L231" i="26"/>
  <c r="L183" i="26"/>
  <c r="L135" i="26"/>
  <c r="L87" i="26"/>
  <c r="L39" i="26"/>
  <c r="L317" i="26"/>
  <c r="L269" i="26"/>
  <c r="L221" i="26"/>
  <c r="L173" i="26"/>
  <c r="L5" i="26"/>
  <c r="L10" i="26"/>
  <c r="L236" i="26"/>
  <c r="L105" i="26"/>
  <c r="L334" i="26"/>
  <c r="L136" i="26"/>
  <c r="L162" i="26"/>
  <c r="L100" i="26"/>
  <c r="L88" i="26"/>
  <c r="L322" i="26"/>
  <c r="L118" i="26"/>
  <c r="L276" i="26"/>
  <c r="L216" i="26"/>
  <c r="L202" i="26"/>
  <c r="L275" i="26"/>
  <c r="L179" i="26"/>
  <c r="L83" i="26"/>
  <c r="L313" i="26"/>
  <c r="L217" i="26"/>
  <c r="L169" i="26"/>
  <c r="L26" i="26"/>
  <c r="L124" i="26"/>
  <c r="L14" i="26"/>
  <c r="L182" i="26"/>
  <c r="AK6" i="22"/>
  <c r="AK7" i="22" s="1"/>
  <c r="B158" i="22"/>
  <c r="B157" i="22"/>
  <c r="L33" i="22"/>
  <c r="T16" i="9" s="1"/>
  <c r="C42" i="22"/>
  <c r="I10" i="22" s="1"/>
  <c r="D38" i="22"/>
  <c r="AK48" i="22"/>
  <c r="D40" i="22"/>
  <c r="C44" i="22"/>
  <c r="J10" i="22" s="1"/>
  <c r="D32" i="22"/>
  <c r="D39" i="22"/>
  <c r="F5" i="22"/>
  <c r="F4" i="22"/>
  <c r="F6" i="22"/>
  <c r="D13" i="22"/>
  <c r="E5" i="22"/>
  <c r="E6" i="22" s="1"/>
  <c r="AK49" i="22"/>
  <c r="A19" i="9" l="1"/>
  <c r="K13" i="22"/>
  <c r="N13" i="22"/>
  <c r="M13" i="22"/>
  <c r="M12" i="22"/>
  <c r="N12" i="22"/>
  <c r="L10" i="22"/>
  <c r="K10" i="22"/>
  <c r="N4" i="26"/>
  <c r="N5" i="26" s="1"/>
  <c r="N6" i="26" s="1"/>
  <c r="N7" i="26" s="1"/>
  <c r="M4" i="26"/>
  <c r="AK8" i="22"/>
  <c r="D47" i="22"/>
  <c r="R29" i="9" s="1"/>
  <c r="D46" i="22"/>
  <c r="D42" i="22"/>
  <c r="C46" i="22"/>
  <c r="D44" i="22"/>
  <c r="C47" i="22"/>
  <c r="N43" i="22" s="1"/>
  <c r="D24" i="22"/>
  <c r="E25" i="22"/>
  <c r="A16" i="9"/>
  <c r="C34" i="22"/>
  <c r="E32" i="22"/>
  <c r="C50" i="22"/>
  <c r="AK50" i="22"/>
  <c r="F7" i="22"/>
  <c r="O5" i="9" s="1"/>
  <c r="D6" i="22"/>
  <c r="D5" i="22"/>
  <c r="D14" i="22"/>
  <c r="D20" i="22"/>
  <c r="J58" i="22" l="1"/>
  <c r="J59" i="22"/>
  <c r="N10" i="22"/>
  <c r="M10" i="22"/>
  <c r="K9" i="22" s="1"/>
  <c r="D115" i="22"/>
  <c r="C88" i="22"/>
  <c r="D88" i="22" s="1"/>
  <c r="N8" i="26"/>
  <c r="M5" i="26"/>
  <c r="AK9" i="22"/>
  <c r="AK10" i="22" s="1"/>
  <c r="Q3" i="22"/>
  <c r="L4" i="15"/>
  <c r="B155" i="22"/>
  <c r="E15" i="9" s="1"/>
  <c r="C57" i="22"/>
  <c r="D114" i="22"/>
  <c r="D113" i="22"/>
  <c r="D122" i="22"/>
  <c r="A22" i="9"/>
  <c r="D25" i="22"/>
  <c r="AK51" i="22"/>
  <c r="R7" i="9"/>
  <c r="C55" i="22"/>
  <c r="O7" i="9"/>
  <c r="D15" i="22"/>
  <c r="D16" i="22"/>
  <c r="M8" i="22"/>
  <c r="P3" i="22" l="1"/>
  <c r="P4" i="22" s="1"/>
  <c r="M9" i="22"/>
  <c r="D17" i="22"/>
  <c r="I7" i="9" s="1"/>
  <c r="M6" i="26"/>
  <c r="N9" i="26"/>
  <c r="N10" i="26" s="1"/>
  <c r="N11" i="26" s="1"/>
  <c r="N12" i="26" s="1"/>
  <c r="N13" i="26" s="1"/>
  <c r="AK11" i="22"/>
  <c r="AK47" i="22"/>
  <c r="C133" i="22"/>
  <c r="D133" i="22" s="1"/>
  <c r="AK52" i="22"/>
  <c r="P5" i="22" l="1"/>
  <c r="P6" i="22" s="1"/>
  <c r="P7" i="22" s="1"/>
  <c r="P8" i="22" s="1"/>
  <c r="M7" i="26"/>
  <c r="M8" i="26" s="1"/>
  <c r="N14" i="26"/>
  <c r="AK12" i="22"/>
  <c r="AK13" i="22" s="1"/>
  <c r="C27" i="22"/>
  <c r="K25" i="9" s="1"/>
  <c r="M24" i="9" s="1"/>
  <c r="D26" i="9" s="1"/>
  <c r="C135" i="22"/>
  <c r="D135" i="22" s="1"/>
  <c r="AK53" i="22"/>
  <c r="P9" i="22" l="1"/>
  <c r="N15" i="26"/>
  <c r="N16" i="26" s="1"/>
  <c r="N17" i="26" s="1"/>
  <c r="N18" i="26" s="1"/>
  <c r="N19" i="26" s="1"/>
  <c r="N20" i="26" s="1"/>
  <c r="N21" i="26" s="1"/>
  <c r="N22" i="26" s="1"/>
  <c r="N23" i="26" s="1"/>
  <c r="N24" i="26" s="1"/>
  <c r="N25" i="26" s="1"/>
  <c r="N26" i="26" s="1"/>
  <c r="N27" i="26" s="1"/>
  <c r="N28" i="26" s="1"/>
  <c r="N29" i="26" s="1"/>
  <c r="N30" i="26" s="1"/>
  <c r="N31" i="26" s="1"/>
  <c r="N32" i="26" s="1"/>
  <c r="N33" i="26" s="1"/>
  <c r="N34" i="26" s="1"/>
  <c r="N35" i="26" s="1"/>
  <c r="N36" i="26" s="1"/>
  <c r="N37" i="26" s="1"/>
  <c r="N38" i="26" s="1"/>
  <c r="N39" i="26" s="1"/>
  <c r="N40" i="26" s="1"/>
  <c r="N41" i="26" s="1"/>
  <c r="N42" i="26" s="1"/>
  <c r="N43" i="26" s="1"/>
  <c r="N44" i="26" s="1"/>
  <c r="N45" i="26" s="1"/>
  <c r="N46" i="26" s="1"/>
  <c r="N47" i="26" s="1"/>
  <c r="N48" i="26" s="1"/>
  <c r="N49" i="26" s="1"/>
  <c r="N50" i="26" s="1"/>
  <c r="N51" i="26" s="1"/>
  <c r="N52" i="26" s="1"/>
  <c r="N53" i="26" s="1"/>
  <c r="N54" i="26" s="1"/>
  <c r="N55" i="26" s="1"/>
  <c r="N56" i="26" s="1"/>
  <c r="N57" i="26" s="1"/>
  <c r="N58" i="26" s="1"/>
  <c r="N59" i="26" s="1"/>
  <c r="N60" i="26" s="1"/>
  <c r="N61" i="26" s="1"/>
  <c r="N62" i="26" s="1"/>
  <c r="N63" i="26" s="1"/>
  <c r="N64" i="26" s="1"/>
  <c r="N65" i="26" s="1"/>
  <c r="N66" i="26" s="1"/>
  <c r="N67" i="26" s="1"/>
  <c r="N68" i="26" s="1"/>
  <c r="N69" i="26" s="1"/>
  <c r="N70" i="26" s="1"/>
  <c r="N71" i="26" s="1"/>
  <c r="N72" i="26" s="1"/>
  <c r="N73" i="26" s="1"/>
  <c r="N74" i="26" s="1"/>
  <c r="N75" i="26" s="1"/>
  <c r="N76" i="26" s="1"/>
  <c r="N77" i="26" s="1"/>
  <c r="N78" i="26" s="1"/>
  <c r="N79" i="26" s="1"/>
  <c r="N80" i="26" s="1"/>
  <c r="N81" i="26" s="1"/>
  <c r="N82" i="26" s="1"/>
  <c r="N83" i="26" s="1"/>
  <c r="N84" i="26" s="1"/>
  <c r="N85" i="26" s="1"/>
  <c r="N86" i="26" s="1"/>
  <c r="N87" i="26" s="1"/>
  <c r="N88" i="26" s="1"/>
  <c r="N89" i="26" s="1"/>
  <c r="N90" i="26" s="1"/>
  <c r="N91" i="26" s="1"/>
  <c r="N92" i="26" s="1"/>
  <c r="N93" i="26" s="1"/>
  <c r="N94" i="26" s="1"/>
  <c r="N95" i="26" s="1"/>
  <c r="N96" i="26" s="1"/>
  <c r="N97" i="26" s="1"/>
  <c r="N98" i="26" s="1"/>
  <c r="N99" i="26" s="1"/>
  <c r="N100" i="26" s="1"/>
  <c r="N101" i="26" s="1"/>
  <c r="N102" i="26" s="1"/>
  <c r="N103" i="26" s="1"/>
  <c r="N104" i="26" s="1"/>
  <c r="N105" i="26" s="1"/>
  <c r="N106" i="26" s="1"/>
  <c r="N107" i="26" s="1"/>
  <c r="N108" i="26" s="1"/>
  <c r="N109" i="26" s="1"/>
  <c r="N110" i="26" s="1"/>
  <c r="N111" i="26" s="1"/>
  <c r="N112" i="26" s="1"/>
  <c r="N113" i="26" s="1"/>
  <c r="N114" i="26" s="1"/>
  <c r="N115" i="26" s="1"/>
  <c r="N116" i="26" s="1"/>
  <c r="N117" i="26" s="1"/>
  <c r="N118" i="26" s="1"/>
  <c r="N119" i="26" s="1"/>
  <c r="N120" i="26" s="1"/>
  <c r="N121" i="26" s="1"/>
  <c r="N122" i="26" s="1"/>
  <c r="N123" i="26" s="1"/>
  <c r="N124" i="26" s="1"/>
  <c r="N125" i="26" s="1"/>
  <c r="N126" i="26" s="1"/>
  <c r="N127" i="26" s="1"/>
  <c r="N128" i="26" s="1"/>
  <c r="N129" i="26" s="1"/>
  <c r="N130" i="26" s="1"/>
  <c r="N131" i="26" s="1"/>
  <c r="N132" i="26" s="1"/>
  <c r="N133" i="26" s="1"/>
  <c r="N134" i="26" s="1"/>
  <c r="N135" i="26" s="1"/>
  <c r="N136" i="26" s="1"/>
  <c r="N137" i="26" s="1"/>
  <c r="N138" i="26" s="1"/>
  <c r="N139" i="26" s="1"/>
  <c r="N140" i="26" s="1"/>
  <c r="N141" i="26" s="1"/>
  <c r="N142" i="26" s="1"/>
  <c r="N143" i="26" s="1"/>
  <c r="N144" i="26" s="1"/>
  <c r="N145" i="26" s="1"/>
  <c r="N146" i="26" s="1"/>
  <c r="N147" i="26" s="1"/>
  <c r="N148" i="26" s="1"/>
  <c r="N149" i="26" s="1"/>
  <c r="N150" i="26" s="1"/>
  <c r="N151" i="26" s="1"/>
  <c r="N152" i="26" s="1"/>
  <c r="N153" i="26" s="1"/>
  <c r="N154" i="26" s="1"/>
  <c r="N155" i="26" s="1"/>
  <c r="N156" i="26" s="1"/>
  <c r="N157" i="26" s="1"/>
  <c r="N158" i="26" s="1"/>
  <c r="N159" i="26" s="1"/>
  <c r="N160" i="26" s="1"/>
  <c r="N161" i="26" s="1"/>
  <c r="N162" i="26" s="1"/>
  <c r="N163" i="26" s="1"/>
  <c r="N164" i="26" s="1"/>
  <c r="N165" i="26" s="1"/>
  <c r="N166" i="26" s="1"/>
  <c r="N167" i="26" s="1"/>
  <c r="N168" i="26" s="1"/>
  <c r="N169" i="26" s="1"/>
  <c r="N170" i="26" s="1"/>
  <c r="N171" i="26" s="1"/>
  <c r="N172" i="26" s="1"/>
  <c r="N173" i="26" s="1"/>
  <c r="N174" i="26" s="1"/>
  <c r="N175" i="26" s="1"/>
  <c r="N176" i="26" s="1"/>
  <c r="N177" i="26" s="1"/>
  <c r="N178" i="26" s="1"/>
  <c r="N179" i="26" s="1"/>
  <c r="N180" i="26" s="1"/>
  <c r="N181" i="26" s="1"/>
  <c r="N182" i="26" s="1"/>
  <c r="N183" i="26" s="1"/>
  <c r="N184" i="26" s="1"/>
  <c r="N185" i="26" s="1"/>
  <c r="N186" i="26" s="1"/>
  <c r="N187" i="26" s="1"/>
  <c r="N188" i="26" s="1"/>
  <c r="N189" i="26" s="1"/>
  <c r="N190" i="26" s="1"/>
  <c r="N191" i="26" s="1"/>
  <c r="N192" i="26" s="1"/>
  <c r="N193" i="26" s="1"/>
  <c r="N194" i="26" s="1"/>
  <c r="N195" i="26" s="1"/>
  <c r="N196" i="26" s="1"/>
  <c r="N197" i="26" s="1"/>
  <c r="N198" i="26" s="1"/>
  <c r="N199" i="26" s="1"/>
  <c r="N200" i="26" s="1"/>
  <c r="N201" i="26" s="1"/>
  <c r="N202" i="26" s="1"/>
  <c r="N203" i="26" s="1"/>
  <c r="N204" i="26" s="1"/>
  <c r="N205" i="26" s="1"/>
  <c r="N206" i="26" s="1"/>
  <c r="N207" i="26" s="1"/>
  <c r="N208" i="26" s="1"/>
  <c r="N209" i="26" s="1"/>
  <c r="N210" i="26" s="1"/>
  <c r="N211" i="26" s="1"/>
  <c r="N212" i="26" s="1"/>
  <c r="N213" i="26" s="1"/>
  <c r="N214" i="26" s="1"/>
  <c r="N215" i="26" s="1"/>
  <c r="N216" i="26" s="1"/>
  <c r="N217" i="26" s="1"/>
  <c r="N218" i="26" s="1"/>
  <c r="N219" i="26" s="1"/>
  <c r="N220" i="26" s="1"/>
  <c r="N221" i="26" s="1"/>
  <c r="N222" i="26" s="1"/>
  <c r="N223" i="26" s="1"/>
  <c r="N224" i="26" s="1"/>
  <c r="N225" i="26" s="1"/>
  <c r="N226" i="26" s="1"/>
  <c r="N227" i="26" s="1"/>
  <c r="N228" i="26" s="1"/>
  <c r="N229" i="26" s="1"/>
  <c r="N230" i="26" s="1"/>
  <c r="N231" i="26" s="1"/>
  <c r="N232" i="26" s="1"/>
  <c r="N233" i="26" s="1"/>
  <c r="N234" i="26" s="1"/>
  <c r="N235" i="26" s="1"/>
  <c r="N236" i="26" s="1"/>
  <c r="N237" i="26" s="1"/>
  <c r="N238" i="26" s="1"/>
  <c r="N239" i="26" s="1"/>
  <c r="N240" i="26" s="1"/>
  <c r="N241" i="26" s="1"/>
  <c r="N242" i="26" s="1"/>
  <c r="N243" i="26" s="1"/>
  <c r="N244" i="26" s="1"/>
  <c r="N245" i="26" s="1"/>
  <c r="N246" i="26" s="1"/>
  <c r="N247" i="26" s="1"/>
  <c r="N248" i="26" s="1"/>
  <c r="N249" i="26" s="1"/>
  <c r="N250" i="26" s="1"/>
  <c r="N251" i="26" s="1"/>
  <c r="N252" i="26" s="1"/>
  <c r="N253" i="26" s="1"/>
  <c r="N254" i="26" s="1"/>
  <c r="N255" i="26" s="1"/>
  <c r="N256" i="26" s="1"/>
  <c r="N257" i="26" s="1"/>
  <c r="N258" i="26" s="1"/>
  <c r="N259" i="26" s="1"/>
  <c r="N260" i="26" s="1"/>
  <c r="N261" i="26" s="1"/>
  <c r="N262" i="26" s="1"/>
  <c r="N263" i="26" s="1"/>
  <c r="N264" i="26" s="1"/>
  <c r="N265" i="26" s="1"/>
  <c r="N266" i="26" s="1"/>
  <c r="N267" i="26" s="1"/>
  <c r="N268" i="26" s="1"/>
  <c r="N269" i="26" s="1"/>
  <c r="N270" i="26" s="1"/>
  <c r="N271" i="26" s="1"/>
  <c r="N272" i="26" s="1"/>
  <c r="N273" i="26" s="1"/>
  <c r="N274" i="26" s="1"/>
  <c r="N275" i="26" s="1"/>
  <c r="N276" i="26" s="1"/>
  <c r="N277" i="26" s="1"/>
  <c r="N278" i="26" s="1"/>
  <c r="N279" i="26" s="1"/>
  <c r="N280" i="26" s="1"/>
  <c r="N281" i="26" s="1"/>
  <c r="N282" i="26" s="1"/>
  <c r="N283" i="26" s="1"/>
  <c r="N284" i="26" s="1"/>
  <c r="N285" i="26" s="1"/>
  <c r="N286" i="26" s="1"/>
  <c r="N287" i="26" s="1"/>
  <c r="N288" i="26" s="1"/>
  <c r="N289" i="26" s="1"/>
  <c r="N290" i="26" s="1"/>
  <c r="N291" i="26" s="1"/>
  <c r="N292" i="26" s="1"/>
  <c r="N293" i="26" s="1"/>
  <c r="N294" i="26" s="1"/>
  <c r="N295" i="26" s="1"/>
  <c r="N296" i="26" s="1"/>
  <c r="N297" i="26" s="1"/>
  <c r="N298" i="26" s="1"/>
  <c r="N299" i="26" s="1"/>
  <c r="N300" i="26" s="1"/>
  <c r="N301" i="26" s="1"/>
  <c r="N302" i="26" s="1"/>
  <c r="N303" i="26" s="1"/>
  <c r="N304" i="26" s="1"/>
  <c r="N305" i="26" s="1"/>
  <c r="N306" i="26" s="1"/>
  <c r="N307" i="26" s="1"/>
  <c r="N308" i="26" s="1"/>
  <c r="N309" i="26" s="1"/>
  <c r="N310" i="26" s="1"/>
  <c r="N311" i="26" s="1"/>
  <c r="N312" i="26" s="1"/>
  <c r="N313" i="26" s="1"/>
  <c r="N314" i="26" s="1"/>
  <c r="N315" i="26" s="1"/>
  <c r="N316" i="26" s="1"/>
  <c r="N317" i="26" s="1"/>
  <c r="N318" i="26" s="1"/>
  <c r="N319" i="26" s="1"/>
  <c r="N320" i="26" s="1"/>
  <c r="N321" i="26" s="1"/>
  <c r="N322" i="26" s="1"/>
  <c r="N323" i="26" s="1"/>
  <c r="N324" i="26" s="1"/>
  <c r="N325" i="26" s="1"/>
  <c r="N326" i="26" s="1"/>
  <c r="N327" i="26" s="1"/>
  <c r="N328" i="26" s="1"/>
  <c r="N329" i="26" s="1"/>
  <c r="N330" i="26" s="1"/>
  <c r="N331" i="26" s="1"/>
  <c r="N332" i="26" s="1"/>
  <c r="N333" i="26" s="1"/>
  <c r="N334" i="26" s="1"/>
  <c r="N335" i="26" s="1"/>
  <c r="N336" i="26" s="1"/>
  <c r="N337" i="26" s="1"/>
  <c r="N338" i="26" s="1"/>
  <c r="N339" i="26" s="1"/>
  <c r="C10" i="26" s="1"/>
  <c r="M9" i="26"/>
  <c r="M10" i="26" s="1"/>
  <c r="M11" i="26" s="1"/>
  <c r="M12" i="26" s="1"/>
  <c r="M13" i="26" s="1"/>
  <c r="M14" i="26" s="1"/>
  <c r="M15" i="26" s="1"/>
  <c r="M16" i="26" s="1"/>
  <c r="M17" i="26" s="1"/>
  <c r="M18" i="26" s="1"/>
  <c r="M19" i="26" s="1"/>
  <c r="M20" i="26" s="1"/>
  <c r="M21" i="26" s="1"/>
  <c r="M22" i="26" s="1"/>
  <c r="M23" i="26" s="1"/>
  <c r="M24" i="26" s="1"/>
  <c r="M25" i="26" s="1"/>
  <c r="M26" i="26" s="1"/>
  <c r="M27" i="26" s="1"/>
  <c r="M28" i="26" s="1"/>
  <c r="M29" i="26" s="1"/>
  <c r="M30" i="26" s="1"/>
  <c r="M31" i="26" s="1"/>
  <c r="M32" i="26" s="1"/>
  <c r="M33" i="26" s="1"/>
  <c r="M34" i="26" s="1"/>
  <c r="M35" i="26" s="1"/>
  <c r="M36" i="26" s="1"/>
  <c r="M37" i="26" s="1"/>
  <c r="M38" i="26" s="1"/>
  <c r="M39" i="26" s="1"/>
  <c r="M40" i="26" s="1"/>
  <c r="M41" i="26" s="1"/>
  <c r="M42" i="26" s="1"/>
  <c r="M43" i="26" s="1"/>
  <c r="M44" i="26" s="1"/>
  <c r="M45" i="26" s="1"/>
  <c r="M46" i="26" s="1"/>
  <c r="M47" i="26" s="1"/>
  <c r="M48" i="26" s="1"/>
  <c r="M49" i="26" s="1"/>
  <c r="M50" i="26" s="1"/>
  <c r="M51" i="26" s="1"/>
  <c r="M52" i="26" s="1"/>
  <c r="M53" i="26" s="1"/>
  <c r="M54" i="26" s="1"/>
  <c r="M55" i="26" s="1"/>
  <c r="M56" i="26" s="1"/>
  <c r="M57" i="26" s="1"/>
  <c r="M58" i="26" s="1"/>
  <c r="M59" i="26" s="1"/>
  <c r="M60" i="26" s="1"/>
  <c r="M61" i="26" s="1"/>
  <c r="M62" i="26" s="1"/>
  <c r="M63" i="26" s="1"/>
  <c r="M64" i="26" s="1"/>
  <c r="M65" i="26" s="1"/>
  <c r="M66" i="26" s="1"/>
  <c r="M67" i="26" s="1"/>
  <c r="M68" i="26" s="1"/>
  <c r="M69" i="26" s="1"/>
  <c r="M70" i="26" s="1"/>
  <c r="M71" i="26" s="1"/>
  <c r="M72" i="26" s="1"/>
  <c r="M73" i="26" s="1"/>
  <c r="M74" i="26" s="1"/>
  <c r="M75" i="26" s="1"/>
  <c r="M76" i="26" s="1"/>
  <c r="M77" i="26" s="1"/>
  <c r="M78" i="26" s="1"/>
  <c r="M79" i="26" s="1"/>
  <c r="M80" i="26" s="1"/>
  <c r="M81" i="26" s="1"/>
  <c r="M82" i="26" s="1"/>
  <c r="M83" i="26" s="1"/>
  <c r="M84" i="26" s="1"/>
  <c r="M85" i="26" s="1"/>
  <c r="M86" i="26" s="1"/>
  <c r="M87" i="26" s="1"/>
  <c r="M88" i="26" s="1"/>
  <c r="M89" i="26" s="1"/>
  <c r="M90" i="26" s="1"/>
  <c r="M91" i="26" s="1"/>
  <c r="M92" i="26" s="1"/>
  <c r="M93" i="26" s="1"/>
  <c r="M94" i="26" s="1"/>
  <c r="M95" i="26" s="1"/>
  <c r="M96" i="26" s="1"/>
  <c r="M97" i="26" s="1"/>
  <c r="M98" i="26" s="1"/>
  <c r="M99" i="26" s="1"/>
  <c r="M100" i="26" s="1"/>
  <c r="M101" i="26" s="1"/>
  <c r="M102" i="26" s="1"/>
  <c r="M103" i="26" s="1"/>
  <c r="M104" i="26" s="1"/>
  <c r="M105" i="26" s="1"/>
  <c r="M106" i="26" s="1"/>
  <c r="M107" i="26" s="1"/>
  <c r="M108" i="26" s="1"/>
  <c r="M109" i="26" s="1"/>
  <c r="M110" i="26" s="1"/>
  <c r="M111" i="26" s="1"/>
  <c r="M112" i="26" s="1"/>
  <c r="M113" i="26" s="1"/>
  <c r="M114" i="26" s="1"/>
  <c r="M115" i="26" s="1"/>
  <c r="M116" i="26" s="1"/>
  <c r="M117" i="26" s="1"/>
  <c r="M118" i="26" s="1"/>
  <c r="M119" i="26" s="1"/>
  <c r="M120" i="26" s="1"/>
  <c r="M121" i="26" s="1"/>
  <c r="M122" i="26" s="1"/>
  <c r="M123" i="26" s="1"/>
  <c r="M124" i="26" s="1"/>
  <c r="M125" i="26" s="1"/>
  <c r="M126" i="26" s="1"/>
  <c r="M127" i="26" s="1"/>
  <c r="M128" i="26" s="1"/>
  <c r="M129" i="26" s="1"/>
  <c r="M130" i="26" s="1"/>
  <c r="M131" i="26" s="1"/>
  <c r="M132" i="26" s="1"/>
  <c r="M133" i="26" s="1"/>
  <c r="M134" i="26" s="1"/>
  <c r="M135" i="26" s="1"/>
  <c r="M136" i="26" s="1"/>
  <c r="M137" i="26" s="1"/>
  <c r="M138" i="26" s="1"/>
  <c r="M139" i="26" s="1"/>
  <c r="M140" i="26" s="1"/>
  <c r="M141" i="26" s="1"/>
  <c r="M142" i="26" s="1"/>
  <c r="M143" i="26" s="1"/>
  <c r="M144" i="26" s="1"/>
  <c r="M145" i="26" s="1"/>
  <c r="M146" i="26" s="1"/>
  <c r="M147" i="26" s="1"/>
  <c r="M148" i="26" s="1"/>
  <c r="M149" i="26" s="1"/>
  <c r="M150" i="26" s="1"/>
  <c r="M151" i="26" s="1"/>
  <c r="M152" i="26" s="1"/>
  <c r="M153" i="26" s="1"/>
  <c r="M154" i="26" s="1"/>
  <c r="M155" i="26" s="1"/>
  <c r="M156" i="26" s="1"/>
  <c r="M157" i="26" s="1"/>
  <c r="M158" i="26" s="1"/>
  <c r="M159" i="26" s="1"/>
  <c r="M160" i="26" s="1"/>
  <c r="M161" i="26" s="1"/>
  <c r="M162" i="26" s="1"/>
  <c r="M163" i="26" s="1"/>
  <c r="M164" i="26" s="1"/>
  <c r="M165" i="26" s="1"/>
  <c r="M166" i="26" s="1"/>
  <c r="M167" i="26" s="1"/>
  <c r="M168" i="26" s="1"/>
  <c r="M169" i="26" s="1"/>
  <c r="M170" i="26" s="1"/>
  <c r="M171" i="26" s="1"/>
  <c r="M172" i="26" s="1"/>
  <c r="M173" i="26" s="1"/>
  <c r="M174" i="26" s="1"/>
  <c r="M175" i="26" s="1"/>
  <c r="M176" i="26" s="1"/>
  <c r="M177" i="26" s="1"/>
  <c r="M178" i="26" s="1"/>
  <c r="M179" i="26" s="1"/>
  <c r="M180" i="26" s="1"/>
  <c r="M181" i="26" s="1"/>
  <c r="M182" i="26" s="1"/>
  <c r="M183" i="26" s="1"/>
  <c r="M184" i="26" s="1"/>
  <c r="M185" i="26" s="1"/>
  <c r="M186" i="26" s="1"/>
  <c r="M187" i="26" s="1"/>
  <c r="M188" i="26" s="1"/>
  <c r="M189" i="26" s="1"/>
  <c r="M190" i="26" s="1"/>
  <c r="M191" i="26" s="1"/>
  <c r="M192" i="26" s="1"/>
  <c r="M193" i="26" s="1"/>
  <c r="M194" i="26" s="1"/>
  <c r="M195" i="26" s="1"/>
  <c r="M196" i="26" s="1"/>
  <c r="M197" i="26" s="1"/>
  <c r="M198" i="26" s="1"/>
  <c r="M199" i="26" s="1"/>
  <c r="M200" i="26" s="1"/>
  <c r="M201" i="26" s="1"/>
  <c r="M202" i="26" s="1"/>
  <c r="M203" i="26" s="1"/>
  <c r="M204" i="26" s="1"/>
  <c r="M205" i="26" s="1"/>
  <c r="M206" i="26" s="1"/>
  <c r="M207" i="26" s="1"/>
  <c r="M208" i="26" s="1"/>
  <c r="M209" i="26" s="1"/>
  <c r="M210" i="26" s="1"/>
  <c r="M211" i="26" s="1"/>
  <c r="M212" i="26" s="1"/>
  <c r="M213" i="26" s="1"/>
  <c r="M214" i="26" s="1"/>
  <c r="M215" i="26" s="1"/>
  <c r="M216" i="26" s="1"/>
  <c r="M217" i="26" s="1"/>
  <c r="M218" i="26" s="1"/>
  <c r="M219" i="26" s="1"/>
  <c r="M220" i="26" s="1"/>
  <c r="M221" i="26" s="1"/>
  <c r="M222" i="26" s="1"/>
  <c r="M223" i="26" s="1"/>
  <c r="M224" i="26" s="1"/>
  <c r="M225" i="26" s="1"/>
  <c r="M226" i="26" s="1"/>
  <c r="M227" i="26" s="1"/>
  <c r="M228" i="26" s="1"/>
  <c r="M229" i="26" s="1"/>
  <c r="M230" i="26" s="1"/>
  <c r="M231" i="26" s="1"/>
  <c r="M232" i="26" s="1"/>
  <c r="M233" i="26" s="1"/>
  <c r="M234" i="26" s="1"/>
  <c r="M235" i="26" s="1"/>
  <c r="M236" i="26" s="1"/>
  <c r="M237" i="26" s="1"/>
  <c r="M238" i="26" s="1"/>
  <c r="M239" i="26" s="1"/>
  <c r="M240" i="26" s="1"/>
  <c r="M241" i="26" s="1"/>
  <c r="M242" i="26" s="1"/>
  <c r="M243" i="26" s="1"/>
  <c r="M244" i="26" s="1"/>
  <c r="M245" i="26" s="1"/>
  <c r="M246" i="26" s="1"/>
  <c r="M247" i="26" s="1"/>
  <c r="M248" i="26" s="1"/>
  <c r="M249" i="26" s="1"/>
  <c r="M250" i="26" s="1"/>
  <c r="M251" i="26" s="1"/>
  <c r="M252" i="26" s="1"/>
  <c r="M253" i="26" s="1"/>
  <c r="M254" i="26" s="1"/>
  <c r="M255" i="26" s="1"/>
  <c r="M256" i="26" s="1"/>
  <c r="M257" i="26" s="1"/>
  <c r="M258" i="26" s="1"/>
  <c r="M259" i="26" s="1"/>
  <c r="M260" i="26" s="1"/>
  <c r="M261" i="26" s="1"/>
  <c r="M262" i="26" s="1"/>
  <c r="M263" i="26" s="1"/>
  <c r="M264" i="26" s="1"/>
  <c r="M265" i="26" s="1"/>
  <c r="M266" i="26" s="1"/>
  <c r="M267" i="26" s="1"/>
  <c r="M268" i="26" s="1"/>
  <c r="M269" i="26" s="1"/>
  <c r="M270" i="26" s="1"/>
  <c r="M271" i="26" s="1"/>
  <c r="M272" i="26" s="1"/>
  <c r="M273" i="26" s="1"/>
  <c r="M274" i="26" s="1"/>
  <c r="M275" i="26" s="1"/>
  <c r="M276" i="26" s="1"/>
  <c r="M277" i="26" s="1"/>
  <c r="M278" i="26" s="1"/>
  <c r="M279" i="26" s="1"/>
  <c r="M280" i="26" s="1"/>
  <c r="M281" i="26" s="1"/>
  <c r="M282" i="26" s="1"/>
  <c r="M283" i="26" s="1"/>
  <c r="M284" i="26" s="1"/>
  <c r="M285" i="26" s="1"/>
  <c r="M286" i="26" s="1"/>
  <c r="M287" i="26" s="1"/>
  <c r="M288" i="26" s="1"/>
  <c r="M289" i="26" s="1"/>
  <c r="M290" i="26" s="1"/>
  <c r="M291" i="26" s="1"/>
  <c r="M292" i="26" s="1"/>
  <c r="M293" i="26" s="1"/>
  <c r="M294" i="26" s="1"/>
  <c r="M295" i="26" s="1"/>
  <c r="M296" i="26" s="1"/>
  <c r="M297" i="26" s="1"/>
  <c r="M298" i="26" s="1"/>
  <c r="M299" i="26" s="1"/>
  <c r="M300" i="26" s="1"/>
  <c r="M301" i="26" s="1"/>
  <c r="M302" i="26" s="1"/>
  <c r="M303" i="26" s="1"/>
  <c r="M304" i="26" s="1"/>
  <c r="M305" i="26" s="1"/>
  <c r="M306" i="26" s="1"/>
  <c r="M307" i="26" s="1"/>
  <c r="M308" i="26" s="1"/>
  <c r="M309" i="26" s="1"/>
  <c r="M310" i="26" s="1"/>
  <c r="M311" i="26" s="1"/>
  <c r="M312" i="26" s="1"/>
  <c r="M313" i="26" s="1"/>
  <c r="M314" i="26" s="1"/>
  <c r="M315" i="26" s="1"/>
  <c r="M316" i="26" s="1"/>
  <c r="M317" i="26" s="1"/>
  <c r="M318" i="26" s="1"/>
  <c r="M319" i="26" s="1"/>
  <c r="M320" i="26" s="1"/>
  <c r="M321" i="26" s="1"/>
  <c r="M322" i="26" s="1"/>
  <c r="M323" i="26" s="1"/>
  <c r="M324" i="26" s="1"/>
  <c r="M325" i="26" s="1"/>
  <c r="M326" i="26" s="1"/>
  <c r="M327" i="26" s="1"/>
  <c r="M328" i="26" s="1"/>
  <c r="M329" i="26" s="1"/>
  <c r="M330" i="26" s="1"/>
  <c r="M331" i="26" s="1"/>
  <c r="M332" i="26" s="1"/>
  <c r="M333" i="26" s="1"/>
  <c r="M334" i="26" s="1"/>
  <c r="M335" i="26" s="1"/>
  <c r="M336" i="26" s="1"/>
  <c r="M337" i="26" s="1"/>
  <c r="M338" i="26" s="1"/>
  <c r="M339" i="26" s="1"/>
  <c r="AK14" i="22"/>
  <c r="AK15" i="22" s="1"/>
  <c r="AK16" i="22" s="1"/>
  <c r="AK17" i="22" s="1"/>
  <c r="AK18" i="22" s="1"/>
  <c r="AK19" i="22" s="1"/>
  <c r="AK20" i="22" s="1"/>
  <c r="AK21" i="22" s="1"/>
  <c r="AK22" i="22" s="1"/>
  <c r="AK23" i="22" s="1"/>
  <c r="AK24" i="22" s="1"/>
  <c r="AK25" i="22" s="1"/>
  <c r="AK26" i="22" s="1"/>
  <c r="AK27" i="22" s="1"/>
  <c r="AK28" i="22" s="1"/>
  <c r="AK29" i="22" s="1"/>
  <c r="AK30" i="22" s="1"/>
  <c r="AK31" i="22" s="1"/>
  <c r="AK32" i="22" s="1"/>
  <c r="AK33" i="22" s="1"/>
  <c r="AK34" i="22" s="1"/>
  <c r="AK35" i="22" s="1"/>
  <c r="AK36" i="22" s="1"/>
  <c r="D28" i="22"/>
  <c r="C30" i="22" s="1"/>
  <c r="A24" i="9"/>
  <c r="AK54" i="22"/>
  <c r="C13" i="26" l="1"/>
  <c r="C11" i="26"/>
  <c r="C7" i="26"/>
  <c r="C14" i="26"/>
  <c r="C12" i="26"/>
  <c r="C8" i="26"/>
  <c r="C9" i="26"/>
  <c r="E5" i="26"/>
  <c r="F5" i="26"/>
  <c r="I5" i="26"/>
  <c r="G5" i="26"/>
  <c r="D5" i="26"/>
  <c r="H5" i="26"/>
  <c r="D53" i="22"/>
  <c r="D91" i="22" s="1"/>
  <c r="B7" i="15" s="1"/>
  <c r="D29" i="22"/>
  <c r="C31" i="22"/>
  <c r="C35" i="22" s="1"/>
  <c r="C26" i="9"/>
  <c r="AK55" i="22"/>
  <c r="AK56" i="22" s="1"/>
  <c r="AK57" i="22" s="1"/>
  <c r="AK58" i="22" s="1"/>
  <c r="AK59" i="22" s="1"/>
  <c r="AK60" i="22" s="1"/>
  <c r="AK61" i="22" s="1"/>
  <c r="AK62" i="22" s="1"/>
  <c r="AK63" i="22" s="1"/>
  <c r="AK64" i="22" s="1"/>
  <c r="AK65" i="22" s="1"/>
  <c r="AK66" i="22" s="1"/>
  <c r="AK67" i="22" s="1"/>
  <c r="AK68" i="22" s="1"/>
  <c r="AK69" i="22" s="1"/>
  <c r="AK70" i="22" s="1"/>
  <c r="AK71" i="22" s="1"/>
  <c r="AK72" i="22" s="1"/>
  <c r="AK73" i="22" s="1"/>
  <c r="AK74" i="22" s="1"/>
  <c r="AK75" i="22" s="1"/>
  <c r="AK76" i="22" s="1"/>
  <c r="AK77" i="22" s="1"/>
  <c r="AK78" i="22" s="1"/>
  <c r="N44" i="22" l="1"/>
  <c r="C48" i="22"/>
  <c r="I6" i="26"/>
  <c r="G6" i="26"/>
  <c r="F6" i="26"/>
  <c r="H6" i="26"/>
  <c r="E6" i="26"/>
  <c r="D6" i="26"/>
  <c r="D11" i="26"/>
  <c r="D10" i="26"/>
  <c r="D9" i="26"/>
  <c r="D14" i="26"/>
  <c r="D7" i="26"/>
  <c r="D8" i="26"/>
  <c r="D12" i="26"/>
  <c r="D13" i="26"/>
  <c r="I13" i="26"/>
  <c r="I12" i="26"/>
  <c r="I11" i="26"/>
  <c r="I9" i="26"/>
  <c r="I7" i="26"/>
  <c r="I8" i="26"/>
  <c r="I10" i="26"/>
  <c r="I14" i="26"/>
  <c r="H10" i="26"/>
  <c r="H9" i="26"/>
  <c r="H13" i="26"/>
  <c r="H8" i="26"/>
  <c r="H7" i="26"/>
  <c r="H12" i="26"/>
  <c r="H14" i="26"/>
  <c r="H11" i="26"/>
  <c r="G10" i="26"/>
  <c r="G14" i="26"/>
  <c r="G8" i="26"/>
  <c r="G7" i="26"/>
  <c r="G9" i="26"/>
  <c r="G12" i="26"/>
  <c r="G13" i="26"/>
  <c r="G11" i="26"/>
  <c r="F7" i="26"/>
  <c r="F8" i="26"/>
  <c r="F13" i="26"/>
  <c r="F11" i="26"/>
  <c r="F12" i="26"/>
  <c r="F14" i="26"/>
  <c r="F9" i="26"/>
  <c r="F10" i="26"/>
  <c r="E7" i="26"/>
  <c r="E8" i="26"/>
  <c r="E11" i="26"/>
  <c r="E14" i="26"/>
  <c r="E12" i="26"/>
  <c r="E10" i="26"/>
  <c r="E9" i="26"/>
  <c r="E13" i="26"/>
  <c r="A2" i="15"/>
  <c r="A2" i="9"/>
  <c r="O24" i="9" s="1"/>
  <c r="C86" i="22"/>
  <c r="C87" i="22" s="1"/>
  <c r="D87" i="22" s="1"/>
  <c r="D93" i="22"/>
  <c r="B6" i="15" s="1"/>
  <c r="D49" i="22"/>
  <c r="E88" i="22"/>
  <c r="C49" i="22"/>
  <c r="C52" i="22" s="1"/>
  <c r="D36" i="15" l="1"/>
  <c r="E23" i="15"/>
  <c r="E24" i="15"/>
  <c r="E22" i="15"/>
  <c r="E21" i="15"/>
  <c r="E30" i="15"/>
  <c r="D32" i="15"/>
  <c r="E28" i="15"/>
  <c r="E29" i="15"/>
  <c r="E26" i="15"/>
  <c r="E27" i="15"/>
  <c r="E25" i="15"/>
  <c r="I49" i="15"/>
  <c r="B13" i="15"/>
  <c r="B11" i="15"/>
  <c r="R6" i="15"/>
  <c r="O6" i="15"/>
  <c r="M6" i="15"/>
  <c r="C49" i="15"/>
  <c r="B14" i="15"/>
  <c r="M13" i="15"/>
  <c r="H13" i="15"/>
  <c r="H14" i="15"/>
  <c r="M14" i="15"/>
  <c r="R22" i="9"/>
  <c r="N19" i="9"/>
  <c r="C20" i="9"/>
  <c r="O28" i="9"/>
  <c r="O26" i="9"/>
  <c r="P22" i="9"/>
  <c r="D92" i="22"/>
  <c r="B8" i="15" s="1"/>
  <c r="H16" i="9"/>
  <c r="R26" i="9"/>
  <c r="R28" i="9"/>
  <c r="C51" i="22"/>
  <c r="D49" i="15" s="1"/>
  <c r="F49" i="15" s="1"/>
  <c r="B50" i="15" l="1"/>
  <c r="D50" i="15" s="1"/>
  <c r="C50" i="15" l="1"/>
  <c r="I50" i="15"/>
  <c r="F50" i="15"/>
  <c r="B51" i="15" l="1"/>
  <c r="D51" i="15" s="1"/>
  <c r="F51" i="15" s="1"/>
  <c r="C51" i="15" l="1"/>
  <c r="B52" i="15" s="1"/>
  <c r="D52" i="15" s="1"/>
  <c r="F52" i="15" s="1"/>
  <c r="I51" i="15"/>
  <c r="C52" i="15" l="1"/>
  <c r="I52" i="15"/>
  <c r="B53" i="15" l="1"/>
  <c r="D53" i="15" s="1"/>
  <c r="F53" i="15" s="1"/>
  <c r="I53" i="15" l="1"/>
  <c r="C53" i="15"/>
  <c r="B54" i="15" l="1"/>
  <c r="I54" i="15" s="1"/>
  <c r="C54" i="15" l="1"/>
  <c r="D54" i="15"/>
  <c r="F54" i="15" s="1"/>
  <c r="B55" i="15" l="1"/>
  <c r="D55" i="15" l="1"/>
  <c r="F55" i="15" s="1"/>
  <c r="C55" i="15"/>
  <c r="I55" i="15"/>
  <c r="B56" i="15" l="1"/>
  <c r="C56" i="15" l="1"/>
  <c r="D56" i="15"/>
  <c r="F56" i="15" s="1"/>
  <c r="I56" i="15"/>
  <c r="B57" i="15" l="1"/>
  <c r="C57" i="15" s="1"/>
  <c r="B58" i="15" l="1"/>
  <c r="C58" i="15" s="1"/>
  <c r="B59" i="15" s="1"/>
  <c r="D57" i="15"/>
  <c r="F57" i="15" s="1"/>
  <c r="I57" i="15"/>
  <c r="I59" i="15" l="1"/>
  <c r="D59" i="15"/>
  <c r="D58" i="15"/>
  <c r="F58" i="15" s="1"/>
  <c r="I58" i="15"/>
  <c r="C59" i="15"/>
  <c r="B60" i="15" l="1"/>
  <c r="C60" i="15" s="1"/>
  <c r="F59" i="15"/>
  <c r="B61" i="15" l="1"/>
  <c r="C61" i="15" s="1"/>
  <c r="B62" i="15" s="1"/>
  <c r="D60" i="15"/>
  <c r="F60" i="15" s="1"/>
  <c r="I60" i="15"/>
  <c r="C62" i="15" l="1"/>
  <c r="D62" i="15"/>
  <c r="I62" i="15"/>
  <c r="I61" i="15"/>
  <c r="D61" i="15"/>
  <c r="F61" i="15" s="1"/>
  <c r="F62" i="15" l="1"/>
  <c r="B63" i="15"/>
  <c r="D63" i="15" l="1"/>
  <c r="F63" i="15" s="1"/>
  <c r="I63" i="15"/>
  <c r="C63" i="15"/>
  <c r="B64" i="15" l="1"/>
  <c r="C64" i="15" s="1"/>
  <c r="B65" i="15" l="1"/>
  <c r="D64" i="15"/>
  <c r="F64" i="15" s="1"/>
  <c r="I64" i="15"/>
  <c r="D65" i="15" l="1"/>
  <c r="F65" i="15" s="1"/>
  <c r="I65" i="15"/>
  <c r="C65" i="15"/>
  <c r="B66" i="15" l="1"/>
  <c r="C66" i="15" s="1"/>
  <c r="B67" i="15" s="1"/>
  <c r="I67" i="15" l="1"/>
  <c r="D67" i="15"/>
  <c r="C67" i="15"/>
  <c r="D66" i="15"/>
  <c r="F66" i="15" s="1"/>
  <c r="I66" i="15"/>
  <c r="B68" i="15" l="1"/>
  <c r="F67" i="15"/>
  <c r="D68" i="15" l="1"/>
  <c r="F68" i="15" s="1"/>
  <c r="I68" i="15"/>
  <c r="C68" i="15"/>
  <c r="B69" i="15" l="1"/>
  <c r="C69" i="15" s="1"/>
  <c r="B70" i="15" s="1"/>
  <c r="C70" i="15" l="1"/>
  <c r="B71" i="15" s="1"/>
  <c r="D71" i="15" s="1"/>
  <c r="D70" i="15"/>
  <c r="I70" i="15"/>
  <c r="I69" i="15"/>
  <c r="D69" i="15"/>
  <c r="F69" i="15" s="1"/>
  <c r="C71" i="15" l="1"/>
  <c r="B72" i="15" s="1"/>
  <c r="C72" i="15" s="1"/>
  <c r="I71" i="15"/>
  <c r="F70" i="15"/>
  <c r="F71" i="15" s="1"/>
  <c r="B73" i="15" l="1"/>
  <c r="C73" i="15" s="1"/>
  <c r="D72" i="15"/>
  <c r="F72" i="15" s="1"/>
  <c r="I72" i="15"/>
  <c r="D73" i="15" l="1"/>
  <c r="F73" i="15" s="1"/>
  <c r="I73" i="15"/>
  <c r="B74" i="15"/>
  <c r="C74" i="15" s="1"/>
  <c r="B75" i="15" l="1"/>
  <c r="I74" i="15"/>
  <c r="D74" i="15"/>
  <c r="F74" i="15" s="1"/>
  <c r="D75" i="15" l="1"/>
  <c r="F75" i="15" s="1"/>
  <c r="I75" i="15"/>
  <c r="C75" i="15"/>
  <c r="B76" i="15" l="1"/>
  <c r="C76" i="15" s="1"/>
  <c r="B77" i="15" s="1"/>
  <c r="I77" i="15" l="1"/>
  <c r="D77" i="15"/>
  <c r="C77" i="15"/>
  <c r="D76" i="15"/>
  <c r="F76" i="15" s="1"/>
  <c r="I76" i="15"/>
  <c r="B78" i="15" l="1"/>
  <c r="C78" i="15" s="1"/>
  <c r="F77" i="15"/>
  <c r="B79" i="15" l="1"/>
  <c r="C79" i="15" s="1"/>
  <c r="I78" i="15"/>
  <c r="D78" i="15"/>
  <c r="F78" i="15" s="1"/>
  <c r="B80" i="15" l="1"/>
  <c r="D79" i="15"/>
  <c r="F79" i="15" s="1"/>
  <c r="I79" i="15"/>
  <c r="I80" i="15" l="1"/>
  <c r="D80" i="15"/>
  <c r="F80" i="15" s="1"/>
  <c r="C80" i="15"/>
  <c r="B81" i="15" l="1"/>
  <c r="C81" i="15" s="1"/>
  <c r="B82" i="15" l="1"/>
  <c r="C82" i="15" s="1"/>
  <c r="I81" i="15"/>
  <c r="D81" i="15"/>
  <c r="F81" i="15" s="1"/>
  <c r="D82" i="15" l="1"/>
  <c r="F82" i="15" s="1"/>
  <c r="I82" i="15"/>
  <c r="B83" i="15"/>
  <c r="C83" i="15" s="1"/>
  <c r="B84" i="15" l="1"/>
  <c r="C84" i="15" s="1"/>
  <c r="I83" i="15"/>
  <c r="D83" i="15"/>
  <c r="F83" i="15" s="1"/>
  <c r="B85" i="15" l="1"/>
  <c r="C85" i="15" s="1"/>
  <c r="D84" i="15"/>
  <c r="F84" i="15" s="1"/>
  <c r="I84" i="15"/>
  <c r="B86" i="15" l="1"/>
  <c r="D85" i="15"/>
  <c r="F85" i="15" s="1"/>
  <c r="I85" i="15"/>
  <c r="I86" i="15" l="1"/>
  <c r="D86" i="15"/>
  <c r="F86" i="15" s="1"/>
  <c r="C86" i="15"/>
  <c r="B87" i="15" l="1"/>
  <c r="C87" i="15" s="1"/>
  <c r="B88" i="15" s="1"/>
  <c r="I88" i="15" l="1"/>
  <c r="D88" i="15"/>
  <c r="C88" i="15"/>
  <c r="I87" i="15"/>
  <c r="D87" i="15"/>
  <c r="F87" i="15" s="1"/>
  <c r="B89" i="15" l="1"/>
  <c r="C89" i="15" s="1"/>
  <c r="F88" i="15"/>
  <c r="B90" i="15" l="1"/>
  <c r="C90" i="15" s="1"/>
  <c r="D89" i="15"/>
  <c r="F89" i="15" s="1"/>
  <c r="I89" i="15"/>
  <c r="I90" i="15" l="1"/>
  <c r="D90" i="15"/>
  <c r="F90" i="15" s="1"/>
  <c r="B91" i="15"/>
  <c r="C91" i="15" s="1"/>
  <c r="B92" i="15" l="1"/>
  <c r="C92" i="15" s="1"/>
  <c r="B93" i="15" s="1"/>
  <c r="I91" i="15"/>
  <c r="D91" i="15"/>
  <c r="F91" i="15" s="1"/>
  <c r="C93" i="15" l="1"/>
  <c r="B94" i="15" s="1"/>
  <c r="D94" i="15" s="1"/>
  <c r="I93" i="15"/>
  <c r="D93" i="15"/>
  <c r="I92" i="15"/>
  <c r="D92" i="15"/>
  <c r="F92" i="15" s="1"/>
  <c r="I94" i="15" l="1"/>
  <c r="C94" i="15"/>
  <c r="B95" i="15" s="1"/>
  <c r="C95" i="15" s="1"/>
  <c r="F93" i="15"/>
  <c r="F94" i="15" s="1"/>
  <c r="D95" i="15" l="1"/>
  <c r="F95" i="15" s="1"/>
  <c r="I95" i="15"/>
  <c r="B96" i="15"/>
  <c r="C96" i="15" s="1"/>
  <c r="B97" i="15" s="1"/>
  <c r="I97" i="15" l="1"/>
  <c r="D97" i="15"/>
  <c r="C97" i="15"/>
  <c r="B98" i="15" s="1"/>
  <c r="D96" i="15"/>
  <c r="F96" i="15" s="1"/>
  <c r="I96" i="15"/>
  <c r="C98" i="15" l="1"/>
  <c r="B99" i="15" s="1"/>
  <c r="D98" i="15"/>
  <c r="I98" i="15"/>
  <c r="F97" i="15"/>
  <c r="F98" i="15" l="1"/>
  <c r="C99" i="15"/>
  <c r="D99" i="15"/>
  <c r="I99" i="15"/>
  <c r="F99" i="15" l="1"/>
  <c r="B100" i="15"/>
  <c r="C100" i="15" s="1"/>
  <c r="B101" i="15" s="1"/>
  <c r="D100" i="15" l="1"/>
  <c r="F100" i="15" s="1"/>
  <c r="I100" i="15"/>
  <c r="C101" i="15"/>
  <c r="B102" i="15" s="1"/>
  <c r="I101" i="15"/>
  <c r="D101" i="15"/>
  <c r="F101" i="15" l="1"/>
  <c r="C102" i="15"/>
  <c r="D102" i="15"/>
  <c r="I102" i="15"/>
  <c r="F102" i="15" l="1"/>
  <c r="B103" i="15"/>
  <c r="C103" i="15" l="1"/>
  <c r="D103" i="15"/>
  <c r="F103" i="15" s="1"/>
  <c r="I103" i="15"/>
  <c r="B104" i="15" l="1"/>
  <c r="C104" i="15" l="1"/>
  <c r="D104" i="15"/>
  <c r="F104" i="15" s="1"/>
  <c r="I104" i="15"/>
  <c r="B105" i="15" l="1"/>
  <c r="C105" i="15" l="1"/>
  <c r="D105" i="15"/>
  <c r="F105" i="15" s="1"/>
  <c r="I105" i="15"/>
  <c r="B106" i="15" l="1"/>
  <c r="C106" i="15" l="1"/>
  <c r="D106" i="15"/>
  <c r="F106" i="15" s="1"/>
  <c r="I106" i="15"/>
  <c r="L49" i="15" l="1"/>
  <c r="S49" i="15" l="1"/>
  <c r="N49" i="15"/>
  <c r="P49" i="15" s="1"/>
  <c r="M49" i="15"/>
  <c r="L50" i="15" l="1"/>
  <c r="P50" i="15" s="1"/>
  <c r="N50" i="15" l="1"/>
  <c r="S50" i="15"/>
  <c r="M50" i="15"/>
  <c r="L51" i="15" s="1"/>
  <c r="P51" i="15" l="1"/>
  <c r="N51" i="15"/>
  <c r="M51" i="15"/>
  <c r="L52" i="15" s="1"/>
  <c r="S51" i="15"/>
  <c r="P52" i="15" l="1"/>
  <c r="N52" i="15"/>
  <c r="M52" i="15"/>
  <c r="L53" i="15" s="1"/>
  <c r="S53" i="15" s="1"/>
  <c r="S52" i="15"/>
  <c r="N53" i="15" l="1"/>
  <c r="M53" i="15"/>
  <c r="L54" i="15" s="1"/>
  <c r="S54" i="15" s="1"/>
  <c r="P53" i="15"/>
  <c r="N54" i="15" l="1"/>
  <c r="M54" i="15"/>
  <c r="L55" i="15" s="1"/>
  <c r="P54" i="15"/>
  <c r="S55" i="15" l="1"/>
  <c r="N55" i="15"/>
  <c r="M55" i="15"/>
  <c r="L56" i="15" s="1"/>
  <c r="P55" i="15"/>
  <c r="P56" i="15" l="1"/>
  <c r="S56" i="15"/>
  <c r="M56" i="15"/>
  <c r="L57" i="15" s="1"/>
  <c r="N56" i="15"/>
  <c r="P57" i="15" l="1"/>
  <c r="S57" i="15"/>
  <c r="M57" i="15"/>
  <c r="L58" i="15" s="1"/>
  <c r="N58" i="15" s="1"/>
  <c r="N57" i="15"/>
  <c r="S58" i="15" l="1"/>
  <c r="M58" i="15"/>
  <c r="L59" i="15" s="1"/>
  <c r="P58" i="15"/>
  <c r="P59" i="15" l="1"/>
  <c r="S59" i="15"/>
  <c r="M59" i="15"/>
  <c r="L60" i="15" s="1"/>
  <c r="N59" i="15"/>
  <c r="P60" i="15"/>
  <c r="S60" i="15"/>
  <c r="M60" i="15"/>
  <c r="L61" i="15" s="1"/>
  <c r="N60" i="15"/>
  <c r="S61" i="15" l="1"/>
  <c r="P61" i="15"/>
  <c r="N61" i="15" l="1"/>
  <c r="M61" i="15"/>
  <c r="L62" i="15" s="1"/>
  <c r="N62" i="15" l="1"/>
  <c r="P62" i="15" l="1"/>
  <c r="S62" i="15"/>
  <c r="M62" i="15"/>
  <c r="L63" i="15" s="1"/>
  <c r="P63" i="15" l="1"/>
  <c r="M63" i="15"/>
  <c r="L64" i="15" s="1"/>
  <c r="S63" i="15"/>
  <c r="N63" i="15"/>
  <c r="M64" i="15" l="1"/>
  <c r="L65" i="15" s="1"/>
  <c r="N64" i="15"/>
  <c r="S64" i="15"/>
  <c r="P64" i="15"/>
  <c r="S65" i="15" l="1"/>
  <c r="N65" i="15"/>
  <c r="P65" i="15"/>
  <c r="M65" i="15"/>
  <c r="L66" i="15" s="1"/>
  <c r="N66" i="15" l="1"/>
  <c r="S66" i="15"/>
  <c r="P66" i="15"/>
  <c r="M66" i="15"/>
  <c r="L67" i="15" s="1"/>
  <c r="P67" i="15" l="1"/>
  <c r="S67" i="15"/>
  <c r="M67" i="15"/>
  <c r="N67" i="15"/>
</calcChain>
</file>

<file path=xl/sharedStrings.xml><?xml version="1.0" encoding="utf-8"?>
<sst xmlns="http://schemas.openxmlformats.org/spreadsheetml/2006/main" count="1381" uniqueCount="838">
  <si>
    <t>保險
年齡</t>
    <phoneticPr fontId="3" type="noConversion"/>
  </si>
  <si>
    <t>性別：</t>
    <phoneticPr fontId="3" type="noConversion"/>
  </si>
  <si>
    <t>保險種類</t>
    <phoneticPr fontId="3" type="noConversion"/>
  </si>
  <si>
    <t>險種代碼</t>
    <phoneticPr fontId="3" type="noConversion"/>
  </si>
  <si>
    <t>被保險人</t>
    <phoneticPr fontId="3" type="noConversion"/>
  </si>
  <si>
    <t>姓名：</t>
    <phoneticPr fontId="3" type="noConversion"/>
  </si>
  <si>
    <t>性別：</t>
    <phoneticPr fontId="3" type="noConversion"/>
  </si>
  <si>
    <t>生日：</t>
    <phoneticPr fontId="3" type="noConversion"/>
  </si>
  <si>
    <t>保險年齡：</t>
    <phoneticPr fontId="3" type="noConversion"/>
  </si>
  <si>
    <t>實際年齡：</t>
    <phoneticPr fontId="3" type="noConversion"/>
  </si>
  <si>
    <t>保額</t>
    <phoneticPr fontId="3" type="noConversion"/>
  </si>
  <si>
    <r>
      <t>保額</t>
    </r>
    <r>
      <rPr>
        <b/>
        <sz val="12"/>
        <color indexed="8"/>
        <rFont val="Arial"/>
        <family val="2"/>
      </rPr>
      <t>(</t>
    </r>
    <r>
      <rPr>
        <b/>
        <sz val="12"/>
        <color indexed="8"/>
        <rFont val="細明體"/>
        <family val="3"/>
        <charset val="136"/>
      </rPr>
      <t>萬</t>
    </r>
    <r>
      <rPr>
        <b/>
        <sz val="12"/>
        <color indexed="8"/>
        <rFont val="Arial"/>
        <family val="2"/>
      </rPr>
      <t>)</t>
    </r>
    <r>
      <rPr>
        <b/>
        <sz val="12"/>
        <color indexed="8"/>
        <rFont val="細明體"/>
        <family val="3"/>
        <charset val="136"/>
      </rPr>
      <t>：</t>
    </r>
    <r>
      <rPr>
        <b/>
        <sz val="12"/>
        <color indexed="8"/>
        <rFont val="Arial"/>
        <family val="2"/>
      </rPr>
      <t/>
    </r>
    <phoneticPr fontId="3" type="noConversion"/>
  </si>
  <si>
    <t>保險年齡：</t>
    <phoneticPr fontId="3" type="noConversion"/>
  </si>
  <si>
    <t>續期</t>
    <phoneticPr fontId="3" type="noConversion"/>
  </si>
  <si>
    <t>註：</t>
  </si>
  <si>
    <t>商品代號</t>
  </si>
  <si>
    <t>年齡</t>
  </si>
  <si>
    <t>性別</t>
  </si>
  <si>
    <t>文字區域</t>
    <phoneticPr fontId="3" type="noConversion"/>
  </si>
  <si>
    <t>fubon</t>
    <phoneticPr fontId="3" type="noConversion"/>
  </si>
  <si>
    <t>試算日</t>
    <phoneticPr fontId="3" type="noConversion"/>
  </si>
  <si>
    <t>生日</t>
    <phoneticPr fontId="3" type="noConversion"/>
  </si>
  <si>
    <t>驗證</t>
    <phoneticPr fontId="3" type="noConversion"/>
  </si>
  <si>
    <t>彈性繳</t>
    <phoneticPr fontId="3" type="noConversion"/>
  </si>
  <si>
    <t>KEY</t>
    <phoneticPr fontId="3" type="noConversion"/>
  </si>
  <si>
    <t>躉繳</t>
    <phoneticPr fontId="3" type="noConversion"/>
  </si>
  <si>
    <t>年繳</t>
    <phoneticPr fontId="3" type="noConversion"/>
  </si>
  <si>
    <t>最高承保</t>
    <phoneticPr fontId="3" type="noConversion"/>
  </si>
  <si>
    <t>保險</t>
    <phoneticPr fontId="3" type="noConversion"/>
  </si>
  <si>
    <t>半年繳</t>
    <phoneticPr fontId="3" type="noConversion"/>
  </si>
  <si>
    <t>足歲</t>
    <phoneticPr fontId="3" type="noConversion"/>
  </si>
  <si>
    <t>季繳</t>
    <phoneticPr fontId="3" type="noConversion"/>
  </si>
  <si>
    <t>月繳</t>
    <phoneticPr fontId="3" type="noConversion"/>
  </si>
  <si>
    <t>輸入格式選項</t>
    <phoneticPr fontId="3" type="noConversion"/>
  </si>
  <si>
    <t>檢核欄位</t>
    <phoneticPr fontId="3" type="noConversion"/>
  </si>
  <si>
    <t>1.輸入格式1-6或7位數字輸入</t>
    <phoneticPr fontId="3" type="noConversion"/>
  </si>
  <si>
    <t>2.輸入格式2-年月日</t>
    <phoneticPr fontId="3" type="noConversion"/>
  </si>
  <si>
    <t>生日檢核</t>
    <phoneticPr fontId="3" type="noConversion"/>
  </si>
  <si>
    <t>最高承保(保險年齡)</t>
    <phoneticPr fontId="3" type="noConversion"/>
  </si>
  <si>
    <t>年齡檢核</t>
    <phoneticPr fontId="3" type="noConversion"/>
  </si>
  <si>
    <t>性別 (1.男 2.女)</t>
    <phoneticPr fontId="3" type="noConversion"/>
  </si>
  <si>
    <t>性別檢核</t>
    <phoneticPr fontId="3" type="noConversion"/>
  </si>
  <si>
    <t>基本資料欄位檢核結果</t>
    <phoneticPr fontId="3" type="noConversion"/>
  </si>
  <si>
    <t>計價幣別(1.台幣 2.外幣)</t>
    <phoneticPr fontId="3" type="noConversion"/>
  </si>
  <si>
    <t>險種代號</t>
    <phoneticPr fontId="3" type="noConversion"/>
  </si>
  <si>
    <t>商品中文名稱</t>
    <phoneticPr fontId="3" type="noConversion"/>
  </si>
  <si>
    <t>年期</t>
    <phoneticPr fontId="3" type="noConversion"/>
  </si>
  <si>
    <t>年期檢核</t>
    <phoneticPr fontId="3" type="noConversion"/>
  </si>
  <si>
    <t>最低保額</t>
    <phoneticPr fontId="3" type="noConversion"/>
  </si>
  <si>
    <t>最高保額</t>
    <phoneticPr fontId="3" type="noConversion"/>
  </si>
  <si>
    <t>保額</t>
    <phoneticPr fontId="3" type="noConversion"/>
  </si>
  <si>
    <t>保額檢核</t>
    <phoneticPr fontId="3" type="noConversion"/>
  </si>
  <si>
    <t>每萬保費</t>
    <phoneticPr fontId="3" type="noConversion"/>
  </si>
  <si>
    <t>繳別</t>
    <phoneticPr fontId="3" type="noConversion"/>
  </si>
  <si>
    <t>折扣率</t>
    <phoneticPr fontId="3" type="noConversion"/>
  </si>
  <si>
    <t>原始應繳保費</t>
    <phoneticPr fontId="3" type="noConversion"/>
  </si>
  <si>
    <t>匯款</t>
    <phoneticPr fontId="3" type="noConversion"/>
  </si>
  <si>
    <t>↓首期</t>
    <phoneticPr fontId="3" type="noConversion"/>
  </si>
  <si>
    <t>續期↓</t>
    <phoneticPr fontId="3" type="noConversion"/>
  </si>
  <si>
    <t>換算格式1.傳統 2.直接除</t>
    <phoneticPr fontId="3" type="noConversion"/>
  </si>
  <si>
    <t>富邦信用卡</t>
    <phoneticPr fontId="3" type="noConversion"/>
  </si>
  <si>
    <t>繳別換算率</t>
    <phoneticPr fontId="3" type="noConversion"/>
  </si>
  <si>
    <t>↑首期</t>
    <phoneticPr fontId="3" type="noConversion"/>
  </si>
  <si>
    <t>應繳保費</t>
    <phoneticPr fontId="3" type="noConversion"/>
  </si>
  <si>
    <t>自行繳費</t>
    <phoneticPr fontId="3" type="noConversion"/>
  </si>
  <si>
    <t>高保費折扣</t>
    <phoneticPr fontId="3" type="noConversion"/>
  </si>
  <si>
    <t>低&lt;=保費&lt;高</t>
    <phoneticPr fontId="3" type="noConversion"/>
  </si>
  <si>
    <t>收費</t>
    <phoneticPr fontId="3" type="noConversion"/>
  </si>
  <si>
    <t>續期↑</t>
    <phoneticPr fontId="3" type="noConversion"/>
  </si>
  <si>
    <t>高保額折扣</t>
    <phoneticPr fontId="3" type="noConversion"/>
  </si>
  <si>
    <t>險種</t>
    <phoneticPr fontId="3" type="noConversion"/>
  </si>
  <si>
    <t>首期繳別</t>
    <phoneticPr fontId="3" type="noConversion"/>
  </si>
  <si>
    <t>自繳折扣-首期</t>
    <phoneticPr fontId="3" type="noConversion"/>
  </si>
  <si>
    <t>主約選項</t>
    <phoneticPr fontId="3" type="noConversion"/>
  </si>
  <si>
    <t>續期繳別</t>
    <phoneticPr fontId="3" type="noConversion"/>
  </si>
  <si>
    <t>自繳折扣-續期</t>
    <phoneticPr fontId="3" type="noConversion"/>
  </si>
  <si>
    <t>折扣率上限</t>
    <phoneticPr fontId="3" type="noConversion"/>
  </si>
  <si>
    <t>首期總折扣率</t>
    <phoneticPr fontId="3" type="noConversion"/>
  </si>
  <si>
    <t>續期總折扣率</t>
    <phoneticPr fontId="3" type="noConversion"/>
  </si>
  <si>
    <t>首期實繳保費</t>
    <phoneticPr fontId="3" type="noConversion"/>
  </si>
  <si>
    <t>續期實繳保費</t>
    <phoneticPr fontId="3" type="noConversion"/>
  </si>
  <si>
    <t>繳別回乘倍數</t>
    <phoneticPr fontId="3" type="noConversion"/>
  </si>
  <si>
    <t>←首期保費規則</t>
    <phoneticPr fontId="3" type="noConversion"/>
  </si>
  <si>
    <t>最低年齡</t>
    <phoneticPr fontId="3" type="noConversion"/>
  </si>
  <si>
    <t>最高年齡</t>
    <phoneticPr fontId="3" type="noConversion"/>
  </si>
  <si>
    <t>首年實繳保費</t>
    <phoneticPr fontId="3" type="noConversion"/>
  </si>
  <si>
    <t>續年實繳保費</t>
    <phoneticPr fontId="3" type="noConversion"/>
  </si>
  <si>
    <t>主約1欄位檢核結果</t>
    <phoneticPr fontId="3" type="noConversion"/>
  </si>
  <si>
    <t>版次</t>
    <phoneticPr fontId="3" type="noConversion"/>
  </si>
  <si>
    <t>A險種+年期(2位)+性別(1位)+年齡(2位)</t>
    <phoneticPr fontId="3" type="noConversion"/>
  </si>
  <si>
    <t>SUMKEY</t>
    <phoneticPr fontId="3" type="noConversion"/>
  </si>
  <si>
    <t>F險種+年期(2位)+年齡(2位)</t>
    <phoneticPr fontId="3" type="noConversion"/>
  </si>
  <si>
    <t>繳別：</t>
    <phoneticPr fontId="3" type="noConversion"/>
  </si>
  <si>
    <t>繳費方式：</t>
    <phoneticPr fontId="3" type="noConversion"/>
  </si>
  <si>
    <t>金融機構轉帳</t>
    <phoneticPr fontId="3" type="noConversion"/>
  </si>
  <si>
    <t>一般信用卡</t>
    <phoneticPr fontId="3" type="noConversion"/>
  </si>
  <si>
    <t>‧身故保險金若被保險人未滿十五足歲前身故者，將以「所繳保險費加計利息」退還予要保人。</t>
  </si>
  <si>
    <t>‧投保後解約或不繼續繳費可能不利消費者，請慎選符合需求之保險商品。</t>
  </si>
  <si>
    <t>‧稅法相關規定或解釋之改變可能會影響本險之稅賦優惠。</t>
  </si>
  <si>
    <t>MAX-Y</t>
    <phoneticPr fontId="3" type="noConversion"/>
  </si>
  <si>
    <t>‧本商品經富邦人壽合格簽署人員檢視其內容業已符合一般精算原則及保險法令，惟為確保權益，基於保險公司與消費者</t>
  </si>
  <si>
    <t xml:space="preserve">  衡平對等原則，消費者仍應詳加閱讀保險單條款與相關文件，審慎選擇保險商品。本商品如有虛偽不實或違法情事，應</t>
  </si>
  <si>
    <t xml:space="preserve">  由富邦人壽及負責人依法負責。</t>
  </si>
  <si>
    <t xml:space="preserve">  規範。</t>
  </si>
  <si>
    <t>‧保險契約各項權利義務皆詳列於保單條款，消費者務必詳加閱讀了解，並把握保單契約撤銷之時效(收到保單翌日起算</t>
  </si>
  <si>
    <t xml:space="preserve">  十日內)。</t>
  </si>
  <si>
    <t>‧本商品之保險契約由富邦人壽承保發單，招攬人員若為保險經紀人(或代理人) 所屬業務員仍應受保險業務員管理規則</t>
  </si>
  <si>
    <t xml:space="preserve">  若有加計利息，則實際理賠金額依條款約定辦理。</t>
  </si>
  <si>
    <t>員工折扣</t>
    <phoneticPr fontId="3" type="noConversion"/>
  </si>
  <si>
    <t>公版</t>
  </si>
  <si>
    <t>公版</t>
    <phoneticPr fontId="3" type="noConversion"/>
  </si>
  <si>
    <t>北富銀</t>
    <phoneticPr fontId="3" type="noConversion"/>
  </si>
  <si>
    <t>FAX</t>
    <phoneticPr fontId="3" type="noConversion"/>
  </si>
  <si>
    <t>ON-LINE</t>
    <phoneticPr fontId="3" type="noConversion"/>
  </si>
  <si>
    <t>版次</t>
  </si>
  <si>
    <t>GP</t>
    <phoneticPr fontId="3" type="noConversion"/>
  </si>
  <si>
    <t>第1年身故保險金</t>
  </si>
  <si>
    <t>第2年身故保險金</t>
  </si>
  <si>
    <t>第3年身故保險金</t>
  </si>
  <si>
    <t>第4年身故保險金</t>
  </si>
  <si>
    <t>第5年身故保險金</t>
  </si>
  <si>
    <t>第6年身故保險金</t>
  </si>
  <si>
    <t>第7年身故保險金</t>
  </si>
  <si>
    <t>第8年身故保險金</t>
  </si>
  <si>
    <t>第9年身故保險金</t>
  </si>
  <si>
    <t>第10年身故保險金</t>
  </si>
  <si>
    <t>第11年身故保險金</t>
  </si>
  <si>
    <t>第12年身故保險金</t>
  </si>
  <si>
    <t>第13年身故保險金</t>
  </si>
  <si>
    <t>第14年身故保險金</t>
  </si>
  <si>
    <t>第15年身故保險金</t>
  </si>
  <si>
    <t>第16年身故保險金</t>
  </si>
  <si>
    <t>第17年身故保險金</t>
  </si>
  <si>
    <t>第18年身故保險金</t>
  </si>
  <si>
    <t>第19年身故保險金</t>
  </si>
  <si>
    <t>第20年身故保險金</t>
  </si>
  <si>
    <t>第21年身故保險金</t>
  </si>
  <si>
    <t>第22年身故保險金</t>
  </si>
  <si>
    <t>第23年身故保險金</t>
  </si>
  <si>
    <t>第24年身故保險金</t>
  </si>
  <si>
    <t>第25年身故保險金</t>
  </si>
  <si>
    <t>第26年身故保險金</t>
  </si>
  <si>
    <t>第27年身故保險金</t>
  </si>
  <si>
    <t>第28年身故保險金</t>
  </si>
  <si>
    <t>第29年身故保險金</t>
  </si>
  <si>
    <t>第30年身故保險金</t>
  </si>
  <si>
    <t>第31年身故保險金</t>
  </si>
  <si>
    <t>第32年身故保險金</t>
  </si>
  <si>
    <t>第33年身故保險金</t>
  </si>
  <si>
    <t>第34年身故保險金</t>
  </si>
  <si>
    <t>第35年身故保險金</t>
  </si>
  <si>
    <t>第36年身故保險金</t>
  </si>
  <si>
    <t>第37年身故保險金</t>
  </si>
  <si>
    <t>第38年身故保險金</t>
  </si>
  <si>
    <t>第39年身故保險金</t>
  </si>
  <si>
    <t>第40年身故保險金</t>
  </si>
  <si>
    <t>第41年身故保險金</t>
  </si>
  <si>
    <t>第42年身故保險金</t>
  </si>
  <si>
    <t>第43年身故保險金</t>
  </si>
  <si>
    <t>第44年身故保險金</t>
  </si>
  <si>
    <t>第45年身故保險金</t>
  </si>
  <si>
    <t>第46年身故保險金</t>
  </si>
  <si>
    <t>第47年身故保險金</t>
  </si>
  <si>
    <t>第48年身故保險金</t>
  </si>
  <si>
    <t>第49年身故保險金</t>
  </si>
  <si>
    <t>第50年身故保險金</t>
  </si>
  <si>
    <t>第51年身故保險金</t>
  </si>
  <si>
    <t>第52年身故保險金</t>
  </si>
  <si>
    <t>第53年身故保險金</t>
  </si>
  <si>
    <t>第54年身故保險金</t>
  </si>
  <si>
    <t>第55年身故保險金</t>
  </si>
  <si>
    <t>第56年身故保險金</t>
  </si>
  <si>
    <t>第57年身故保險金</t>
  </si>
  <si>
    <t>第58年身故保險金</t>
  </si>
  <si>
    <t>第59年身故保險金</t>
  </si>
  <si>
    <t>第60年身故保險金</t>
  </si>
  <si>
    <t>第61年身故保險金</t>
  </si>
  <si>
    <t>第62年身故保險金</t>
  </si>
  <si>
    <t>第63年身故保險金</t>
  </si>
  <si>
    <t>第64年身故保險金</t>
  </si>
  <si>
    <t>第65年身故保險金</t>
  </si>
  <si>
    <t>第66年身故保險金</t>
  </si>
  <si>
    <t>第67年身故保險金</t>
  </si>
  <si>
    <t>第68年身故保險金</t>
  </si>
  <si>
    <t>第69年身故保險金</t>
  </si>
  <si>
    <t>第70年身故保險金</t>
  </si>
  <si>
    <t>第71年身故保險金</t>
  </si>
  <si>
    <t>第72年身故保險金</t>
  </si>
  <si>
    <t>第73年身故保險金</t>
  </si>
  <si>
    <t>第74年身故保險金額</t>
  </si>
  <si>
    <t>第75年身故保險金</t>
  </si>
  <si>
    <t>第76年身故保險金</t>
  </si>
  <si>
    <t>第77年身故保險金</t>
  </si>
  <si>
    <t>第78年身故保險金</t>
  </si>
  <si>
    <t>第79年身故保險金</t>
  </si>
  <si>
    <t>第80年身故保險金</t>
  </si>
  <si>
    <t>第81年身故保險金</t>
  </si>
  <si>
    <t>第82年身故保險金</t>
  </si>
  <si>
    <t>第83年身故保險金</t>
  </si>
  <si>
    <t>第84年身故保險金</t>
  </si>
  <si>
    <t>DIE</t>
    <phoneticPr fontId="3" type="noConversion"/>
  </si>
  <si>
    <t>EXP</t>
    <phoneticPr fontId="3" type="noConversion"/>
  </si>
  <si>
    <t>繳費年期</t>
    <phoneticPr fontId="3" type="noConversion"/>
  </si>
  <si>
    <t>第85年身故保險金</t>
  </si>
  <si>
    <t>第86年身故保險金</t>
  </si>
  <si>
    <t>第87年身故保險金</t>
  </si>
  <si>
    <t>第88年身故保險金</t>
  </si>
  <si>
    <t>第89年身故保險金</t>
  </si>
  <si>
    <t>第90年身故保險金</t>
  </si>
  <si>
    <t>第91年身故保險金</t>
  </si>
  <si>
    <t>第92年身故保險金</t>
  </si>
  <si>
    <t>第93年身故保險金</t>
  </si>
  <si>
    <t>第94年身故保險金</t>
  </si>
  <si>
    <t>第95年身故保險金</t>
  </si>
  <si>
    <t>第96年身故保險金</t>
  </si>
  <si>
    <t>第97年身故保險金</t>
  </si>
  <si>
    <t>第98年身故保險金</t>
  </si>
  <si>
    <t>第99年身故保險金</t>
  </si>
  <si>
    <t>第100年身故保險金</t>
  </si>
  <si>
    <t>第101年身故保險金</t>
  </si>
  <si>
    <t>第102年身故保險金</t>
  </si>
  <si>
    <t>第103年身故保險金</t>
  </si>
  <si>
    <t>第104年身故保險金</t>
  </si>
  <si>
    <t>第105年身故保險金</t>
  </si>
  <si>
    <t>第106年身故保險金</t>
  </si>
  <si>
    <t>第107年身故保險金</t>
  </si>
  <si>
    <t>第108年身故保險金</t>
  </si>
  <si>
    <t>第109年身故保險金</t>
  </si>
  <si>
    <t>第110年身故保險金</t>
  </si>
  <si>
    <t>第111年身故保險金</t>
  </si>
  <si>
    <t>支票</t>
    <phoneticPr fontId="3" type="noConversion"/>
  </si>
  <si>
    <t>首期</t>
    <phoneticPr fontId="3" type="noConversion"/>
  </si>
  <si>
    <t>‧上表所列之各項數值，係指各保單年度末之數值。本保險契約若辦理減額繳清保險時，上表將不適用。</t>
  </si>
  <si>
    <t>‧上表數值為從未申領老年住院醫療提前給付保險金之數值，如有申領過老年住院醫療提前給付保險金者上表將不適</t>
  </si>
  <si>
    <t xml:space="preserve">  用，老年住院醫療提前給付保險金申領之條件及限制請詳閱保單條款說明。</t>
  </si>
  <si>
    <t>※本契約條款樣張須於訂立契約前提供要保人至少三日審閱期間。</t>
    <phoneticPr fontId="3" type="noConversion"/>
  </si>
  <si>
    <t>集彙折扣-首期</t>
    <phoneticPr fontId="3" type="noConversion"/>
  </si>
  <si>
    <t>集彙折扣-續期</t>
    <phoneticPr fontId="3" type="noConversion"/>
  </si>
  <si>
    <t>第一頁說明↓</t>
    <phoneticPr fontId="3" type="noConversion"/>
  </si>
  <si>
    <t>警語↓</t>
    <phoneticPr fontId="3" type="noConversion"/>
  </si>
  <si>
    <t>金融機構轉帳</t>
  </si>
  <si>
    <t>適用通路：</t>
    <phoneticPr fontId="3" type="noConversion"/>
  </si>
  <si>
    <t>富邦人壽保險股份有限公司履行個人資料保護法告知說明書</t>
  </si>
  <si>
    <t xml:space="preserve"> </t>
  </si>
  <si>
    <t>富邦人壽保險股份有限公司（下稱本公司）依據個人資料保護法（以下稱個資法）</t>
  </si>
  <si>
    <t>規定，向 台端告知下列事項，請 台端詳閱：</t>
  </si>
  <si>
    <t>一、蒐集之目的：</t>
  </si>
  <si>
    <t>（一）人身保險（００一）</t>
  </si>
  <si>
    <t>（二）其他經營合於營業登記項目或組織章程所定之業務（一八一）</t>
  </si>
  <si>
    <t>二、蒐集之個人資料類別：</t>
  </si>
  <si>
    <t>（一）姓名。</t>
  </si>
  <si>
    <t>（二）身分證統一編號。</t>
  </si>
  <si>
    <t>（三）地址。</t>
  </si>
  <si>
    <t>三、個人資料利用之期間、地區、對象、方式：</t>
  </si>
  <si>
    <t>（三）地區：上述對象所在之地區。</t>
  </si>
  <si>
    <t>（四）方式：合於法令規定之利用方式。</t>
  </si>
  <si>
    <t>四、依據個資法第三條規定，台端就本公司保有 台端之個人資料得行使之權利及</t>
  </si>
  <si>
    <t xml:space="preserve">    方式：</t>
  </si>
  <si>
    <t>（一）得向本公司行使之權利：</t>
  </si>
  <si>
    <t xml:space="preserve">      1.向本公司查詢、請求閱覽或請求製給複製本。</t>
  </si>
  <si>
    <t xml:space="preserve">      2.向本公司請求補充或更正。</t>
  </si>
  <si>
    <t xml:space="preserve">      3.向本公司請求停止蒐集、處理或利用及請求刪除。</t>
  </si>
  <si>
    <t>（二）行使權利之方式：</t>
  </si>
  <si>
    <t xml:space="preserve">    台端若未能提供相關個人資料時，本公司將可能延後或無法進行必要之審核</t>
  </si>
  <si>
    <t xml:space="preserve">    及處理作業，因此可能婉謝承保、遲延或無法承保。</t>
  </si>
  <si>
    <t>保經代</t>
  </si>
  <si>
    <t xml:space="preserve">      與本公司有再保業務往來之公司、依法有調查權機關或金融監理機關。</t>
  </si>
  <si>
    <t>業務、服展、北富銀</t>
    <phoneticPr fontId="3" type="noConversion"/>
  </si>
  <si>
    <t>業務、服展</t>
    <phoneticPr fontId="3" type="noConversion"/>
  </si>
  <si>
    <t>整銷</t>
    <phoneticPr fontId="3" type="noConversion"/>
  </si>
  <si>
    <t>多元</t>
    <phoneticPr fontId="3" type="noConversion"/>
  </si>
  <si>
    <t>無</t>
    <phoneticPr fontId="3" type="noConversion"/>
  </si>
  <si>
    <t>集體彙繳件</t>
    <phoneticPr fontId="3" type="noConversion"/>
  </si>
  <si>
    <t>員工轉帳件</t>
    <phoneticPr fontId="3" type="noConversion"/>
  </si>
  <si>
    <t>免付費申訴專線：0809-000-550</t>
  </si>
  <si>
    <t>被保險人：</t>
    <phoneticPr fontId="3" type="noConversion"/>
  </si>
  <si>
    <t>專案保費折扣：</t>
    <phoneticPr fontId="3" type="noConversion"/>
  </si>
  <si>
    <t>姓名遮蔽用：中/英/數混合：前6碼"*"，中文：倒數第2碼"○"</t>
    <phoneticPr fontId="69" type="noConversion"/>
  </si>
  <si>
    <t>姓名：</t>
    <phoneticPr fontId="69" type="noConversion"/>
  </si>
  <si>
    <t>←輸入頁資料</t>
    <phoneticPr fontId="69" type="noConversion"/>
  </si>
  <si>
    <t>帶入資料</t>
    <phoneticPr fontId="69" type="noConversion"/>
  </si>
  <si>
    <t>判別不顯示(不判別)</t>
    <phoneticPr fontId="69" type="noConversion"/>
  </si>
  <si>
    <t>ID-11碼數字</t>
    <phoneticPr fontId="69" type="noConversion"/>
  </si>
  <si>
    <t>*</t>
  </si>
  <si>
    <t>ID-10碼</t>
    <phoneticPr fontId="69" type="noConversion"/>
  </si>
  <si>
    <t>**</t>
  </si>
  <si>
    <t>護照-9碼</t>
    <phoneticPr fontId="69" type="noConversion"/>
  </si>
  <si>
    <t>***</t>
  </si>
  <si>
    <t>****</t>
  </si>
  <si>
    <t>*****</t>
  </si>
  <si>
    <t>******</t>
  </si>
  <si>
    <t>空格位置</t>
    <phoneticPr fontId="69" type="noConversion"/>
  </si>
  <si>
    <t>簡寫</t>
    <phoneticPr fontId="69" type="noConversion"/>
  </si>
  <si>
    <t>1-中文-0-混合</t>
    <phoneticPr fontId="69" type="noConversion"/>
  </si>
  <si>
    <t>試算日：</t>
  </si>
  <si>
    <t>錠嵂保經</t>
  </si>
  <si>
    <r>
      <t>業務員簽名：</t>
    </r>
    <r>
      <rPr>
        <b/>
        <u/>
        <sz val="10"/>
        <rFont val="新細明體"/>
        <family val="3"/>
        <charset val="136"/>
      </rPr>
      <t xml:space="preserve">                                                   .</t>
    </r>
    <phoneticPr fontId="3" type="noConversion"/>
  </si>
  <si>
    <r>
      <t>要保人簽名：</t>
    </r>
    <r>
      <rPr>
        <b/>
        <u/>
        <sz val="10"/>
        <rFont val="新細明體"/>
        <family val="3"/>
        <charset val="136"/>
      </rPr>
      <t xml:space="preserve">                                                   .</t>
    </r>
    <phoneticPr fontId="3" type="noConversion"/>
  </si>
  <si>
    <t>（四）病歷、醫療、健康檢查 。</t>
  </si>
  <si>
    <t>（五）要保書、要保文件等其他基於保險契約所提供之個人資料。</t>
  </si>
  <si>
    <t>‧本商品各項保險金給付詳細內容及其限制請詳閱保單條款內容說明。</t>
    <phoneticPr fontId="3" type="noConversion"/>
  </si>
  <si>
    <t>身故保障</t>
    <phoneticPr fontId="3" type="noConversion"/>
  </si>
  <si>
    <t>保額輸入檢核</t>
    <phoneticPr fontId="3" type="noConversion"/>
  </si>
  <si>
    <t>‧上表保險年齡15歲以下(含15歲)之身故/完全失能保障數值，為按年繳計算之所繳保險費總和，不含加計利息的部分，</t>
  </si>
  <si>
    <t>注意事項：</t>
    <phoneticPr fontId="81" type="noConversion"/>
  </si>
  <si>
    <t>‧消費者投保前應審慎瞭解本商品之承保範圍、除外責任、不保事項及商品風險，相關內容均詳列於保單條款及相關銷售</t>
    <phoneticPr fontId="81" type="noConversion"/>
  </si>
  <si>
    <t xml:space="preserve">  文件，如有疑義請洽詢銷售人員以詳細說明。</t>
    <phoneticPr fontId="81" type="noConversion"/>
  </si>
  <si>
    <t>保單
年度</t>
    <phoneticPr fontId="3" type="noConversion"/>
  </si>
  <si>
    <t>繳費年期：</t>
    <phoneticPr fontId="3" type="noConversion"/>
  </si>
  <si>
    <t>險種代號：</t>
    <phoneticPr fontId="3" type="noConversion"/>
  </si>
  <si>
    <t>繳費年期</t>
    <phoneticPr fontId="3" type="noConversion"/>
  </si>
  <si>
    <t>提醒設定</t>
    <phoneticPr fontId="81" type="noConversion"/>
  </si>
  <si>
    <t>跳歲計算</t>
    <phoneticPr fontId="81" type="noConversion"/>
  </si>
  <si>
    <t>新年齡/保費/差異</t>
    <phoneticPr fontId="81" type="noConversion"/>
  </si>
  <si>
    <t>全列印頁面使用</t>
    <phoneticPr fontId="81" type="noConversion"/>
  </si>
  <si>
    <t>更新區域</t>
    <phoneticPr fontId="81" type="noConversion"/>
  </si>
  <si>
    <t>帶入內容區域</t>
    <phoneticPr fontId="81" type="noConversion"/>
  </si>
  <si>
    <t>OLD/說明</t>
    <phoneticPr fontId="81" type="noConversion"/>
  </si>
  <si>
    <t>折扣率：</t>
    <phoneticPr fontId="81" type="noConversion"/>
  </si>
  <si>
    <t>保費/折扣後保費：</t>
    <phoneticPr fontId="81" type="noConversion"/>
  </si>
  <si>
    <t>表格保險種類</t>
    <phoneticPr fontId="81" type="noConversion"/>
  </si>
  <si>
    <t>增值回饋分享金給付方式：</t>
    <phoneticPr fontId="81" type="noConversion"/>
  </si>
  <si>
    <t>有增值回饋分享金頁首：</t>
    <phoneticPr fontId="81" type="noConversion"/>
  </si>
  <si>
    <t>其他頁面用</t>
    <phoneticPr fontId="81" type="noConversion"/>
  </si>
  <si>
    <t>彙總版用</t>
    <phoneticPr fontId="81" type="noConversion"/>
  </si>
  <si>
    <t>商品文號：</t>
    <phoneticPr fontId="81" type="noConversion"/>
  </si>
  <si>
    <t>列印頁版次試算日：</t>
    <phoneticPr fontId="81" type="noConversion"/>
  </si>
  <si>
    <t>現售</t>
  </si>
  <si>
    <t>頁尾審閱期：(組合需加代號)</t>
    <phoneticPr fontId="81" type="noConversion"/>
  </si>
  <si>
    <t>頁尾警語：</t>
    <phoneticPr fontId="81" type="noConversion"/>
  </si>
  <si>
    <t>全列印頁表頭欄位使用</t>
    <phoneticPr fontId="81" type="noConversion"/>
  </si>
  <si>
    <t>16歲前年度回饋分享金：</t>
    <phoneticPr fontId="81" type="noConversion"/>
  </si>
  <si>
    <t>16歲前增購保額身故欄位：</t>
    <phoneticPr fontId="81" type="noConversion"/>
  </si>
  <si>
    <t>16歲前增購保額解約金欄位：</t>
    <phoneticPr fontId="81" type="noConversion"/>
  </si>
  <si>
    <t>輸入頁使用</t>
    <phoneticPr fontId="81" type="noConversion"/>
  </si>
  <si>
    <t>輸入頁試算日</t>
    <phoneticPr fontId="81" type="noConversion"/>
  </si>
  <si>
    <t>未滿15足歲：</t>
    <phoneticPr fontId="81" type="noConversion"/>
  </si>
  <si>
    <t xml:space="preserve"> </t>
    <phoneticPr fontId="81" type="noConversion"/>
  </si>
  <si>
    <t>列印頁/列印頁-銀保</t>
    <phoneticPr fontId="81" type="noConversion"/>
  </si>
  <si>
    <t>無增值回饋分享金給付文字</t>
    <phoneticPr fontId="81" type="noConversion"/>
  </si>
  <si>
    <t>下表保險相關給付為假設無增值回饋分享金之情境</t>
    <phoneticPr fontId="81" type="noConversion"/>
  </si>
  <si>
    <t>全列印頁面-祝壽保險金</t>
    <phoneticPr fontId="81" type="noConversion"/>
  </si>
  <si>
    <t>祝壽保險金：</t>
    <phoneticPr fontId="81" type="noConversion"/>
  </si>
  <si>
    <t>增額繳清保險金額祝壽保險金：</t>
    <phoneticPr fontId="81" type="noConversion"/>
  </si>
  <si>
    <t>總保險金額祝壽保險金：</t>
    <phoneticPr fontId="81" type="noConversion"/>
  </si>
  <si>
    <t>要保人</t>
    <phoneticPr fontId="81" type="noConversion"/>
  </si>
  <si>
    <t>fubon</t>
    <phoneticPr fontId="81" type="noConversion"/>
  </si>
  <si>
    <t>試算日</t>
    <phoneticPr fontId="81" type="noConversion"/>
  </si>
  <si>
    <t>生日</t>
    <phoneticPr fontId="81" type="noConversion"/>
  </si>
  <si>
    <t>驗證</t>
    <phoneticPr fontId="81" type="noConversion"/>
  </si>
  <si>
    <t>提醒↓</t>
    <phoneticPr fontId="81" type="noConversion"/>
  </si>
  <si>
    <t>保險</t>
    <phoneticPr fontId="81" type="noConversion"/>
  </si>
  <si>
    <t>足歲</t>
    <phoneticPr fontId="81" type="noConversion"/>
  </si>
  <si>
    <t>提前提醒</t>
    <phoneticPr fontId="81" type="noConversion"/>
  </si>
  <si>
    <t>錄音提醒功能</t>
    <phoneticPr fontId="81" type="noConversion"/>
  </si>
  <si>
    <t>1=提醒/0=不提醒</t>
    <phoneticPr fontId="81" type="noConversion"/>
  </si>
  <si>
    <t>繳款人生日</t>
  </si>
  <si>
    <t>銷售紀錄單使用版本</t>
    <phoneticPr fontId="81" type="noConversion"/>
  </si>
  <si>
    <t>PB</t>
  </si>
  <si>
    <t>←銀保通路判別使用</t>
  </si>
  <si>
    <t>保障至幾歲</t>
    <phoneticPr fontId="81" type="noConversion"/>
  </si>
  <si>
    <t>105.11.14富壽商精字第 1050003499 號函備查、110.07.26富壽商精字第1100001366號函備查</t>
    <phoneticPr fontId="81" type="noConversion"/>
  </si>
  <si>
    <t>‧本公司資訊公開說明文件放置網址www.fubon.com/life/，歡迎上網查詢。</t>
    <phoneticPr fontId="3" type="noConversion"/>
  </si>
  <si>
    <t>要保人：</t>
    <phoneticPr fontId="81" type="noConversion"/>
  </si>
  <si>
    <t>與被保險人不同</t>
  </si>
  <si>
    <t>繳款人：</t>
  </si>
  <si>
    <t>要保人生日(民國)：</t>
  </si>
  <si>
    <t>第1年祝壽保險金</t>
  </si>
  <si>
    <t>第2年祝壽保險金</t>
  </si>
  <si>
    <t>第3年祝壽保險金</t>
  </si>
  <si>
    <t>第4年祝壽保險金</t>
  </si>
  <si>
    <t>第5年祝壽保險金</t>
  </si>
  <si>
    <t>第6年祝壽保險金</t>
  </si>
  <si>
    <t>第7年祝壽保險金</t>
  </si>
  <si>
    <t>第8年祝壽保險金</t>
  </si>
  <si>
    <t>第9年祝壽保險金</t>
  </si>
  <si>
    <t>第10年祝壽保險金</t>
  </si>
  <si>
    <t>第11年祝壽保險金</t>
  </si>
  <si>
    <t>第12年祝壽保險金</t>
  </si>
  <si>
    <t>第13年祝壽保險金</t>
  </si>
  <si>
    <t>第14年祝壽保險金</t>
  </si>
  <si>
    <t>第15年祝壽保險金</t>
  </si>
  <si>
    <t>第16年祝壽保險金</t>
  </si>
  <si>
    <t>第17年祝壽保險金</t>
  </si>
  <si>
    <t>第18年祝壽保險金</t>
  </si>
  <si>
    <t>第19年祝壽保險金</t>
  </si>
  <si>
    <t>第20年祝壽保險金</t>
  </si>
  <si>
    <t>第21年祝壽保險金</t>
  </si>
  <si>
    <t>第22年祝壽保險金</t>
  </si>
  <si>
    <t>第23年祝壽保險金</t>
  </si>
  <si>
    <t>第24年祝壽保險金</t>
  </si>
  <si>
    <t>第25年祝壽保險金</t>
  </si>
  <si>
    <t>第26年祝壽保險金</t>
  </si>
  <si>
    <t>第27年祝壽保險金</t>
  </si>
  <si>
    <t>第28年祝壽保險金</t>
  </si>
  <si>
    <t>第29年祝壽保險金</t>
  </si>
  <si>
    <t>第30年祝壽保險金</t>
  </si>
  <si>
    <t>第31年祝壽保險金</t>
  </si>
  <si>
    <t>第32年祝壽保險金</t>
  </si>
  <si>
    <t>第33年祝壽保險金</t>
  </si>
  <si>
    <t>第34年祝壽保險金</t>
  </si>
  <si>
    <t>第35年祝壽保險金</t>
  </si>
  <si>
    <t>第36年祝壽保險金</t>
  </si>
  <si>
    <t>第37年祝壽保險金</t>
  </si>
  <si>
    <t>第38年祝壽保險金</t>
  </si>
  <si>
    <t>第39年祝壽保險金</t>
  </si>
  <si>
    <t>第40年祝壽保險金</t>
  </si>
  <si>
    <t>第41年祝壽保險金</t>
  </si>
  <si>
    <t>第42年祝壽保險金</t>
  </si>
  <si>
    <t>第43年祝壽保險金</t>
  </si>
  <si>
    <t>第44年祝壽保險金</t>
  </si>
  <si>
    <t>第45年祝壽保險金</t>
  </si>
  <si>
    <t>第46年祝壽保險金</t>
  </si>
  <si>
    <t>第47年祝壽保險金</t>
  </si>
  <si>
    <t>第48年祝壽保險金</t>
  </si>
  <si>
    <t>第49年祝壽保險金</t>
  </si>
  <si>
    <t>第50年祝壽保險金</t>
  </si>
  <si>
    <t>第51年祝壽保險金</t>
  </si>
  <si>
    <t>第52年祝壽保險金</t>
  </si>
  <si>
    <t>第53年祝壽保險金</t>
  </si>
  <si>
    <t>第54年祝壽保險金</t>
  </si>
  <si>
    <t>第55年祝壽保險金</t>
  </si>
  <si>
    <t>第56年祝壽保險金</t>
  </si>
  <si>
    <t>第57年祝壽保險金</t>
  </si>
  <si>
    <t>第58年祝壽保險金</t>
  </si>
  <si>
    <t>第59年祝壽保險金</t>
  </si>
  <si>
    <t>第60年祝壽保險金</t>
  </si>
  <si>
    <t>第61年祝壽保險金</t>
  </si>
  <si>
    <t>第62年祝壽保險金</t>
  </si>
  <si>
    <t>第63年祝壽保險金</t>
  </si>
  <si>
    <t>第64年祝壽保險金</t>
  </si>
  <si>
    <t>第65年祝壽保險金</t>
  </si>
  <si>
    <t>第66年祝壽保險金</t>
  </si>
  <si>
    <t>第67年祝壽保險金</t>
  </si>
  <si>
    <t>第68年祝壽保險金</t>
  </si>
  <si>
    <t>第69年祝壽保險金</t>
  </si>
  <si>
    <t>第70年祝壽保險金</t>
  </si>
  <si>
    <t>第71年祝壽保險金</t>
  </si>
  <si>
    <t>第72年祝壽保險金</t>
  </si>
  <si>
    <t>第73年祝壽保險金</t>
  </si>
  <si>
    <t>第74年祝壽保險金</t>
  </si>
  <si>
    <t>第75年祝壽保險金</t>
  </si>
  <si>
    <t>第76年祝壽保險金</t>
  </si>
  <si>
    <t>第77年祝壽保險金</t>
  </si>
  <si>
    <t>第78年祝壽保險金</t>
  </si>
  <si>
    <t>第79年祝壽保險金</t>
  </si>
  <si>
    <t>第80年祝壽保險金</t>
  </si>
  <si>
    <t>第81年祝壽保險金</t>
  </si>
  <si>
    <t>第82年祝壽保險金</t>
  </si>
  <si>
    <t>第83年祝壽保險金</t>
  </si>
  <si>
    <t>第84年祝壽保險金</t>
  </si>
  <si>
    <t>第85年祝壽保險金</t>
  </si>
  <si>
    <t>第86年祝壽保險金</t>
  </si>
  <si>
    <t>第87年祝壽保險金</t>
  </si>
  <si>
    <t>第88年祝壽保險金</t>
  </si>
  <si>
    <t>第89年祝壽保險金</t>
  </si>
  <si>
    <t>第90年祝壽保險金</t>
  </si>
  <si>
    <t>第91年祝壽保險金</t>
  </si>
  <si>
    <t>第92年祝壽保險金</t>
  </si>
  <si>
    <t>第93年祝壽保險金</t>
  </si>
  <si>
    <t>第94年祝壽保險金</t>
  </si>
  <si>
    <t>第95年祝壽保險金</t>
  </si>
  <si>
    <t>第96年祝壽保險金</t>
  </si>
  <si>
    <t>第97年祝壽保險金</t>
  </si>
  <si>
    <t>第98年祝壽保險金</t>
  </si>
  <si>
    <t>第99年祝壽保險金</t>
  </si>
  <si>
    <t>第100年祝壽保險金</t>
  </si>
  <si>
    <t>第101年祝壽保險金</t>
  </si>
  <si>
    <t>第102年祝壽保險金</t>
  </si>
  <si>
    <t>第103年祝壽保險金</t>
  </si>
  <si>
    <t>第104年祝壽保險金</t>
  </si>
  <si>
    <t>第105年祝壽保險金</t>
  </si>
  <si>
    <t>第106年祝壽保險金</t>
  </si>
  <si>
    <t>第107年祝壽保險金</t>
  </si>
  <si>
    <t>第108年祝壽保險金</t>
  </si>
  <si>
    <t>第109年祝壽保險金</t>
  </si>
  <si>
    <t>第110年祝壽保險金</t>
  </si>
  <si>
    <t>第111年祝壽保險金</t>
  </si>
  <si>
    <t>職業等級</t>
  </si>
  <si>
    <t>年期</t>
  </si>
  <si>
    <t>繳費年度</t>
  </si>
  <si>
    <t>保費</t>
  </si>
  <si>
    <t>客戶</t>
    <phoneticPr fontId="3" type="noConversion"/>
  </si>
  <si>
    <t>商品摘要</t>
    <phoneticPr fontId="3" type="noConversion"/>
  </si>
  <si>
    <t>‧人壽保險之死亡給付及年金保險之確定年金給付於被保險人死亡後給付於指定受益人者，依保險法第一百十二條規定不</t>
  </si>
  <si>
    <t xml:space="preserve">  得作為被保險人之遺產，惟如涉有規避遺產稅等稅捐情事者，稽徵機關仍得依據有關稅法規定或納稅者權利保護法第七</t>
  </si>
  <si>
    <t xml:space="preserve">  條所定實質課稅原則辦理。相關實務案例請至富邦人壽官網詳閱。</t>
  </si>
  <si>
    <t>與要被保人不同</t>
  </si>
  <si>
    <t>繳款人姓名：</t>
    <phoneticPr fontId="81" type="noConversion"/>
  </si>
  <si>
    <t>繳款人生日(民國)：</t>
    <phoneticPr fontId="81" type="noConversion"/>
  </si>
  <si>
    <t>保額小數位數</t>
    <phoneticPr fontId="81" type="noConversion"/>
  </si>
  <si>
    <t>新臺幣</t>
  </si>
  <si>
    <t>年齡-1</t>
    <phoneticPr fontId="81" type="noConversion"/>
  </si>
  <si>
    <t>最高保額-2</t>
    <phoneticPr fontId="81" type="noConversion"/>
  </si>
  <si>
    <t>保留-3</t>
    <phoneticPr fontId="81" type="noConversion"/>
  </si>
  <si>
    <t>保留-4</t>
    <phoneticPr fontId="81" type="noConversion"/>
  </si>
  <si>
    <t>免體檢額度-5</t>
    <phoneticPr fontId="81" type="noConversion"/>
  </si>
  <si>
    <t>通算系數-分期-20</t>
    <phoneticPr fontId="81" type="noConversion"/>
  </si>
  <si>
    <t>通算係數-分期-10</t>
    <phoneticPr fontId="81" type="noConversion"/>
  </si>
  <si>
    <t>通算系數-分期-30</t>
    <phoneticPr fontId="81" type="noConversion"/>
  </si>
  <si>
    <t xml:space="preserve"> ※本契約條款樣張須於訂立契約前提供要保人至少三日審閱期間</t>
    <phoneticPr fontId="81" type="noConversion"/>
  </si>
  <si>
    <t>本保單計價幣別：</t>
    <phoneticPr fontId="81" type="noConversion"/>
  </si>
  <si>
    <t>‧上表所列各項保險實際給付金額以保單條款規定為準。</t>
    <phoneticPr fontId="3" type="noConversion"/>
  </si>
  <si>
    <t>健康管理保險費折扣項目</t>
    <phoneticPr fontId="81" type="noConversion"/>
  </si>
  <si>
    <t>‧上表健康管理折扣後實繳保費，繳費期內如不符折扣條件，上表將不適用，詳細內容以投保當時保單條款規定為準。</t>
    <phoneticPr fontId="81" type="noConversion"/>
  </si>
  <si>
    <t>單位：元</t>
    <phoneticPr fontId="3" type="noConversion"/>
  </si>
  <si>
    <t>‧本商品保險保障部份受「財團法人保險安定基金」之「人身保險安定基金專戶」保障，並非存款，不受存款保險之保障。</t>
    <phoneticPr fontId="3" type="noConversion"/>
  </si>
  <si>
    <t>累計給付年度</t>
  </si>
  <si>
    <t>給付數值</t>
  </si>
  <si>
    <t>KEY</t>
    <phoneticPr fontId="3" type="noConversion"/>
  </si>
  <si>
    <t>銀保</t>
    <phoneticPr fontId="3" type="noConversion"/>
  </si>
  <si>
    <t>業務、服展、北富銀</t>
  </si>
  <si>
    <t>‧本保險為不分紅保險單，不參加紅利分配，並無紅利給付項目。</t>
    <phoneticPr fontId="3" type="noConversion"/>
  </si>
  <si>
    <t>←帶OP</t>
    <phoneticPr fontId="3" type="noConversion"/>
  </si>
  <si>
    <t>以下3欄要注意最下方要和右側揭露拉齊</t>
    <phoneticPr fontId="3" type="noConversion"/>
  </si>
  <si>
    <t>以下COPY-DB</t>
    <phoneticPr fontId="3" type="noConversion"/>
  </si>
  <si>
    <t>代表年齡第?小→</t>
    <phoneticPr fontId="3" type="noConversion"/>
  </si>
  <si>
    <t>年齡代號轉換</t>
    <phoneticPr fontId="3" type="noConversion"/>
  </si>
  <si>
    <t>年齡</t>
    <phoneticPr fontId="3" type="noConversion"/>
  </si>
  <si>
    <t>年度</t>
    <phoneticPr fontId="3" type="noConversion"/>
  </si>
  <si>
    <t>險種大類</t>
  </si>
  <si>
    <t>年期險種</t>
  </si>
  <si>
    <t>繳費方式</t>
  </si>
  <si>
    <t>宣告利率</t>
  </si>
  <si>
    <t>繳費金額</t>
  </si>
  <si>
    <t>保單年度</t>
  </si>
  <si>
    <t>揭露利率</t>
  </si>
  <si>
    <t>性別男=1，女=2→</t>
    <phoneticPr fontId="3" type="noConversion"/>
  </si>
  <si>
    <t>取第?欄→</t>
    <phoneticPr fontId="3" type="noConversion"/>
  </si>
  <si>
    <t>第?小↓</t>
    <phoneticPr fontId="3" type="noConversion"/>
  </si>
  <si>
    <t>保單年度</t>
    <phoneticPr fontId="3" type="noConversion"/>
  </si>
  <si>
    <t>以上區域為帶入列印頁範圍</t>
    <phoneticPr fontId="3" type="noConversion"/>
  </si>
  <si>
    <t>CV</t>
    <phoneticPr fontId="3" type="noConversion"/>
  </si>
  <si>
    <t>PA</t>
    <phoneticPr fontId="3" type="noConversion"/>
  </si>
  <si>
    <t>第1年解約金</t>
  </si>
  <si>
    <t>第2年解約金</t>
  </si>
  <si>
    <t>第3年解約金</t>
  </si>
  <si>
    <t>第4年解約金</t>
  </si>
  <si>
    <t>第5年解約金</t>
  </si>
  <si>
    <t>第6年解約金</t>
  </si>
  <si>
    <t>第7年解約金</t>
  </si>
  <si>
    <t>第8年解約金</t>
  </si>
  <si>
    <t>第9年解約金</t>
  </si>
  <si>
    <t>第10年解約金</t>
  </si>
  <si>
    <t>第11年解約金</t>
  </si>
  <si>
    <t>第12年解約金</t>
  </si>
  <si>
    <t>第13年解約金</t>
  </si>
  <si>
    <t>第14年解約金</t>
  </si>
  <si>
    <t>第15年解約金</t>
  </si>
  <si>
    <t>第16年解約金</t>
  </si>
  <si>
    <t>第17年解約金</t>
  </si>
  <si>
    <t>第18年解約金</t>
  </si>
  <si>
    <t>第19年解約金</t>
  </si>
  <si>
    <t>第20年解約金</t>
  </si>
  <si>
    <t>第21年解約金</t>
  </si>
  <si>
    <t>第22年解約金</t>
  </si>
  <si>
    <t>第23年解約金</t>
  </si>
  <si>
    <t>第24年解約金</t>
  </si>
  <si>
    <t>第25年解約金</t>
  </si>
  <si>
    <t>第26年解約金</t>
  </si>
  <si>
    <t>第27年解約金</t>
  </si>
  <si>
    <t>第28年解約金</t>
  </si>
  <si>
    <t>第29年解約金</t>
  </si>
  <si>
    <t>第30年解約金</t>
  </si>
  <si>
    <t>第31年解約金</t>
  </si>
  <si>
    <t>第32年解約金</t>
  </si>
  <si>
    <t>第33年解約金</t>
  </si>
  <si>
    <t>第34年解約金</t>
  </si>
  <si>
    <t>第35年解約金</t>
  </si>
  <si>
    <t>第36年解約金</t>
  </si>
  <si>
    <t>第37年解約金</t>
  </si>
  <si>
    <t>第38年解約金</t>
  </si>
  <si>
    <t>第39年解約金</t>
  </si>
  <si>
    <t>第40年解約金</t>
  </si>
  <si>
    <t>第41年解約金</t>
  </si>
  <si>
    <t>第42年解約金</t>
  </si>
  <si>
    <t>第43年解約金</t>
  </si>
  <si>
    <t>第44年解約金</t>
  </si>
  <si>
    <t>第45年解約金</t>
  </si>
  <si>
    <t>第46年解約金</t>
  </si>
  <si>
    <t>第47年解約金</t>
  </si>
  <si>
    <t>第48年解約金</t>
  </si>
  <si>
    <t>第49年解約金</t>
  </si>
  <si>
    <t>第50年解約金</t>
  </si>
  <si>
    <t>第51年解約金</t>
  </si>
  <si>
    <t>第52年解約金</t>
  </si>
  <si>
    <t>第53年解約金</t>
  </si>
  <si>
    <t>第54年解約金</t>
  </si>
  <si>
    <t>第55年解約金</t>
  </si>
  <si>
    <t>第56年解約金</t>
  </si>
  <si>
    <t>第57年解約金</t>
  </si>
  <si>
    <t>第58年解約金</t>
  </si>
  <si>
    <t>第59年解約金</t>
  </si>
  <si>
    <t>第60年解約金</t>
  </si>
  <si>
    <t>第61年解約金</t>
  </si>
  <si>
    <t>第62年解約金</t>
  </si>
  <si>
    <t>第63年解約金</t>
  </si>
  <si>
    <t>第64年解約金</t>
  </si>
  <si>
    <t>第65年解約金</t>
  </si>
  <si>
    <t>第66年解約金</t>
  </si>
  <si>
    <t>第67年解約金</t>
  </si>
  <si>
    <t>第68年解約金</t>
  </si>
  <si>
    <t>第69年解約金</t>
  </si>
  <si>
    <t>第70年解約金</t>
  </si>
  <si>
    <t>第71年解約金</t>
  </si>
  <si>
    <t>第72年解約金</t>
  </si>
  <si>
    <t>第73年解約金</t>
  </si>
  <si>
    <t>第74年解約金</t>
  </si>
  <si>
    <t>第75年解約金</t>
  </si>
  <si>
    <t>第76年解約金</t>
  </si>
  <si>
    <t>第77年解約金</t>
  </si>
  <si>
    <t>第78年解約金</t>
  </si>
  <si>
    <t>第79年解約金</t>
  </si>
  <si>
    <t>第80年解約金</t>
  </si>
  <si>
    <t>第81年解約金</t>
  </si>
  <si>
    <t>第82年解約金</t>
  </si>
  <si>
    <t>第83年解約金</t>
  </si>
  <si>
    <t>第84年解約金</t>
  </si>
  <si>
    <t>第85年解約金</t>
  </si>
  <si>
    <t>第86年解約金</t>
  </si>
  <si>
    <t>第87年解約金</t>
  </si>
  <si>
    <t>第88年解約金</t>
  </si>
  <si>
    <t>第89年解約金</t>
  </si>
  <si>
    <t>第90年解約金</t>
  </si>
  <si>
    <t>第91年解約金</t>
  </si>
  <si>
    <t>第92年解約金</t>
  </si>
  <si>
    <t>第93年解約金</t>
  </si>
  <si>
    <t>第94年解約金</t>
  </si>
  <si>
    <t>第95年解約金</t>
  </si>
  <si>
    <t>第96年解約金</t>
  </si>
  <si>
    <t>第97年解約金</t>
  </si>
  <si>
    <t>第98年解約金</t>
  </si>
  <si>
    <t>第99年解約金</t>
  </si>
  <si>
    <t>第100年解約金</t>
  </si>
  <si>
    <t>第101年解約金</t>
  </si>
  <si>
    <t>第102年解約金</t>
  </si>
  <si>
    <t>第103年解約金</t>
  </si>
  <si>
    <t>第104年解約金</t>
  </si>
  <si>
    <t>第105年解約金</t>
  </si>
  <si>
    <t>第106年解約金</t>
  </si>
  <si>
    <t>第107年解約金</t>
  </si>
  <si>
    <t>第108年解約金</t>
  </si>
  <si>
    <t>第109年解約金</t>
  </si>
  <si>
    <t>第110年解約金</t>
  </si>
  <si>
    <t>第111年解約金</t>
  </si>
  <si>
    <t>55</t>
  </si>
  <si>
    <t>第1年減額繳清保額</t>
  </si>
  <si>
    <t>第2年減額繳清保額</t>
  </si>
  <si>
    <t>第3年減額繳清保額</t>
  </si>
  <si>
    <t>第4年減額繳清保額</t>
  </si>
  <si>
    <t>第5年減額繳清保額</t>
  </si>
  <si>
    <t>第6年減額繳清保額</t>
  </si>
  <si>
    <t>第7年減額繳清保額</t>
  </si>
  <si>
    <t>第8年減額繳清保額</t>
  </si>
  <si>
    <t>第9年減額繳清保額</t>
  </si>
  <si>
    <t>第10年減額繳清保額</t>
  </si>
  <si>
    <t>第11年減額繳清保額</t>
  </si>
  <si>
    <t>第12年減額繳清保額</t>
  </si>
  <si>
    <t>第13年減額繳清保額</t>
  </si>
  <si>
    <t>第14年減額繳清保額</t>
  </si>
  <si>
    <t>第15年減額繳清保額</t>
  </si>
  <si>
    <t>第16年減額繳清保額</t>
  </si>
  <si>
    <t>第17年減額繳清保額</t>
  </si>
  <si>
    <t>第18年減額繳清保額</t>
  </si>
  <si>
    <t>第19年減額繳清保額B</t>
  </si>
  <si>
    <t>第20年減額繳清保額</t>
  </si>
  <si>
    <t>第21年減額繳清保額B</t>
  </si>
  <si>
    <t>第22年減額繳清保額</t>
  </si>
  <si>
    <t>第23年減額繳清保額</t>
  </si>
  <si>
    <t>第24年減額繳清保額</t>
  </si>
  <si>
    <t>第25年減額繳清保額</t>
  </si>
  <si>
    <t>第26年減額繳清保額B</t>
  </si>
  <si>
    <t>第27年減額繳清保額</t>
  </si>
  <si>
    <t>第28年減額繳清保額B</t>
  </si>
  <si>
    <t>第29年減額繳清保額</t>
  </si>
  <si>
    <t>第30年減額繳清保額B</t>
  </si>
  <si>
    <t>第31年減額繳清保額</t>
  </si>
  <si>
    <t>第32年減額繳清保額</t>
  </si>
  <si>
    <t>第33年減額繳清保額</t>
  </si>
  <si>
    <t>第34年減額繳清保額</t>
  </si>
  <si>
    <t>第35年減額繳清保額</t>
  </si>
  <si>
    <t>第36年減額繳清保額</t>
  </si>
  <si>
    <t>第37年減額繳清保額</t>
  </si>
  <si>
    <t>第38年減額繳清保額</t>
  </si>
  <si>
    <t>第39年減額繳清保額</t>
  </si>
  <si>
    <t>第40年減額繳清保額</t>
  </si>
  <si>
    <t>第41年減額繳清保額</t>
  </si>
  <si>
    <t>第42年減額繳清保額</t>
  </si>
  <si>
    <t>第43年減額繳清保額</t>
  </si>
  <si>
    <t>第44年減額繳清保額</t>
  </si>
  <si>
    <t>第45年減額繳清保額</t>
  </si>
  <si>
    <t>第46年減額繳清保額</t>
  </si>
  <si>
    <t>第47年減額繳清保額</t>
  </si>
  <si>
    <t>第48年減額繳清保額</t>
  </si>
  <si>
    <t>第49年減額繳清保額</t>
  </si>
  <si>
    <t>第50年減額繳清保額</t>
  </si>
  <si>
    <t>第51年減額繳清保額</t>
  </si>
  <si>
    <t>第52年減額繳清保額</t>
  </si>
  <si>
    <t>第53年減額繳清保額</t>
  </si>
  <si>
    <t>第54年減額繳清保額</t>
  </si>
  <si>
    <t>第55年減額繳清保額</t>
  </si>
  <si>
    <t>第56年減額繳清保額</t>
  </si>
  <si>
    <t>第57年減額繳清保額</t>
  </si>
  <si>
    <t>第58年減額繳清保額</t>
  </si>
  <si>
    <t>第59年減額繳清保額</t>
  </si>
  <si>
    <t>第60年減額繳清保額</t>
  </si>
  <si>
    <t>第61年減額繳清保額</t>
  </si>
  <si>
    <t>第62年減額繳清保額</t>
  </si>
  <si>
    <t>第63年減額繳清保額</t>
  </si>
  <si>
    <t>第64年減額繳清保額</t>
  </si>
  <si>
    <t>第65年減額繳清保額</t>
  </si>
  <si>
    <t>第66年減額繳清保額</t>
  </si>
  <si>
    <t>第67年減額繳清保額</t>
  </si>
  <si>
    <t>第68年減額繳清保額</t>
  </si>
  <si>
    <t>第69年減額繳清保額</t>
  </si>
  <si>
    <t>第70年減額繳清保額</t>
  </si>
  <si>
    <t>第71年減額繳清保額</t>
  </si>
  <si>
    <t>第72年減額繳清保額</t>
  </si>
  <si>
    <t>第73年減額繳清保額</t>
  </si>
  <si>
    <t>第74年減額繳清保額</t>
  </si>
  <si>
    <t>第75年減額繳清保額</t>
  </si>
  <si>
    <t>第76年減額繳清保額</t>
  </si>
  <si>
    <t>第77年減額繳清保額</t>
  </si>
  <si>
    <t>第78年減額繳清保額</t>
  </si>
  <si>
    <t>第79年減額繳清保額</t>
  </si>
  <si>
    <t>第80年減額繳清保額</t>
  </si>
  <si>
    <t>第81年減額繳清保額</t>
  </si>
  <si>
    <t>第82年契遾B繳清保額</t>
  </si>
  <si>
    <t>第83年減額繳清保額</t>
  </si>
  <si>
    <t>第84年減額繳清保額</t>
  </si>
  <si>
    <t>第85年減額繳清保額</t>
  </si>
  <si>
    <t>第86年減額繳清保額</t>
  </si>
  <si>
    <t>第87年減額繳清保額</t>
  </si>
  <si>
    <t>第88年減額繳清保額</t>
  </si>
  <si>
    <t>第89年減額繳清保額</t>
  </si>
  <si>
    <t>第90年減額繳清保額</t>
  </si>
  <si>
    <t>第91年減額繳清保額</t>
  </si>
  <si>
    <t>第92年減額繳清保額</t>
  </si>
  <si>
    <t>第93年減額繳清保額</t>
  </si>
  <si>
    <t>第94年減額繳清保額</t>
  </si>
  <si>
    <t>第95年減額繳清保額</t>
  </si>
  <si>
    <t>第96年減額繳清保額</t>
  </si>
  <si>
    <t>第97年減額繳清保額</t>
  </si>
  <si>
    <t>第98年減額繳清保額</t>
  </si>
  <si>
    <t>第99年減額繳清保額</t>
  </si>
  <si>
    <t>第100年減額繳清保額</t>
  </si>
  <si>
    <t>第101年減額繳清保額</t>
  </si>
  <si>
    <t>第102年減額繳清保額</t>
  </si>
  <si>
    <t>第103年減額繳清保額</t>
  </si>
  <si>
    <t>第104年減額繳清保額</t>
  </si>
  <si>
    <t>第105年減額繳清保額</t>
  </si>
  <si>
    <t>第106年減額繳清保額</t>
  </si>
  <si>
    <t>第107年減額繳清保額</t>
  </si>
  <si>
    <t>第108年減額繳清保額</t>
  </si>
  <si>
    <t>第109年減額繳清保額</t>
  </si>
  <si>
    <t>第110年減額繳清保額</t>
  </si>
  <si>
    <t>第111年減額繳清保額</t>
  </si>
  <si>
    <t>保額代碼</t>
  </si>
  <si>
    <t>投保金額</t>
  </si>
  <si>
    <t>附加費用率：</t>
    <phoneticPr fontId="81" type="noConversion"/>
  </si>
  <si>
    <t>（一）期間：因執行業務所必須及依法令規定應為保存之期間。</t>
  </si>
  <si>
    <t>（二）對象：本公司、中華民國人壽保險商業同業公會、財團法人保險事業發展</t>
  </si>
  <si>
    <t xml:space="preserve">      中心、財團法人金融消費評議中心、業務委外機構、臺灣網路認證(股)公司、</t>
  </si>
  <si>
    <t xml:space="preserve">      與本公司有再保業務往來之公司、依法有調查權機關或金融監理機關。</t>
  </si>
  <si>
    <t xml:space="preserve">      您可以透過書面（包含電子郵件、傳真、電子文件）方式行使權利。</t>
  </si>
  <si>
    <t>五、台端不提供個人資料所致權益之影響</t>
  </si>
  <si>
    <t>‧富邦人壽保險股份有限公司 / 地址：台北市信義區松高路77號8樓 / 電話：(02)8771-6699</t>
  </si>
  <si>
    <t>‧上表年度/累計實繳保費已扣除繳費方式折扣，繳費期內如不符繳費方式折扣條件，上表將不適用。</t>
  </si>
  <si>
    <t>本建議書僅供參考，詳細商品內容及其變更，應以投保當時保單條款內容及本公司核保、保全作業規定為準</t>
  </si>
  <si>
    <t>請注意：如使用非微軟OFFICE-PC版開啟本建議書，本建議書內容可能會因硬體系統升級或軟體更新問題導致數值誤差，業務同仁使用時請確實確認。</t>
  </si>
  <si>
    <t>‧本人已將本建議書內容及注意事項向要保人親自告知</t>
  </si>
  <si>
    <t>‧本人已詳閱本建議書內容並同意提醒注意事項</t>
  </si>
  <si>
    <t>投保年齡區間：</t>
    <phoneticPr fontId="3" type="noConversion"/>
  </si>
  <si>
    <t>女</t>
    <phoneticPr fontId="3" type="noConversion"/>
  </si>
  <si>
    <t>員工轉帳件</t>
  </si>
  <si>
    <t>富邦人壽真馨相守防癌定期健康保險</t>
    <phoneticPr fontId="3" type="noConversion"/>
  </si>
  <si>
    <t>CLX10</t>
  </si>
  <si>
    <t>CLX20</t>
  </si>
  <si>
    <t>CLX</t>
  </si>
  <si>
    <t>健康檢查</t>
    <phoneticPr fontId="81" type="noConversion"/>
  </si>
  <si>
    <t>折扣使用</t>
  </si>
  <si>
    <t>首期</t>
  </si>
  <si>
    <t>續期</t>
  </si>
  <si>
    <t>高保額</t>
  </si>
  <si>
    <t>專案集彙件</t>
  </si>
  <si>
    <t>折扣選項</t>
    <phoneticPr fontId="3" type="noConversion"/>
  </si>
  <si>
    <t>特定傷病
保險金</t>
    <phoneticPr fontId="3" type="noConversion"/>
  </si>
  <si>
    <t>特定手術
保險金</t>
    <phoneticPr fontId="3" type="noConversion"/>
  </si>
  <si>
    <t>滿期保險金</t>
    <phoneticPr fontId="3" type="noConversion"/>
  </si>
  <si>
    <t xml:space="preserve">          滿期保險金、豁免保險費</t>
  </si>
  <si>
    <t>‧本保險因費率計算已考慮脫退率，故本保險無解約金</t>
    <phoneticPr fontId="3" type="noConversion"/>
  </si>
  <si>
    <t>‧等待期間：係指自本契約生效日起持續有效九十日之期間。</t>
    <phoneticPr fontId="3" type="noConversion"/>
  </si>
  <si>
    <t>投保利益表</t>
    <phoneticPr fontId="3" type="noConversion"/>
  </si>
  <si>
    <t>給付內容</t>
    <phoneticPr fontId="81" type="noConversion"/>
  </si>
  <si>
    <t>保單
年度</t>
    <phoneticPr fontId="81" type="noConversion"/>
  </si>
  <si>
    <t>給付金額</t>
    <phoneticPr fontId="81" type="noConversion"/>
  </si>
  <si>
    <t>說明</t>
    <phoneticPr fontId="81" type="noConversion"/>
  </si>
  <si>
    <t>2~</t>
    <phoneticPr fontId="3" type="noConversion"/>
  </si>
  <si>
    <t>首次罹患癌症(初期)或癌症(輕度)保險金</t>
  </si>
  <si>
    <t>首次罹患癌症(重度)保險金</t>
  </si>
  <si>
    <t>給付項目：首次罹患癌症(初期)或癌症(輕度)保險金、首次罹患癌症(重度)保險金、首次罹患特定</t>
  </si>
  <si>
    <t xml:space="preserve">          癌症(重度)保險金、特定手術保險金、特定傷病保險金、身故保險金或喪葬費用保險金、</t>
  </si>
  <si>
    <t>首次罹患特定癌症(重度)保險金</t>
    <phoneticPr fontId="3" type="noConversion"/>
  </si>
  <si>
    <t>6~</t>
    <phoneticPr fontId="3" type="noConversion"/>
  </si>
  <si>
    <t>‧本商品之身故保險給付，有可能於特定條件下小於年繳保險費總和，請慎選符合需求之保險商品</t>
    <phoneticPr fontId="3" type="noConversion"/>
  </si>
  <si>
    <t>‧健康管理保險費折扣：本契約有效之繳費期間內，被保險人於指定期間內，接受經中央衛生主管機關核准登記並領有開</t>
    <phoneticPr fontId="3" type="noConversion"/>
  </si>
  <si>
    <t>　業執照之醫療機構或醫事檢驗所之合格醫事人員所作之健康檢查，並將包含被保險人身高、體重、血壓、血糖、血脂肪</t>
    <phoneticPr fontId="3" type="noConversion"/>
  </si>
  <si>
    <t xml:space="preserve"> （包括膽固醇及三酸甘油脂）等數值之健康檢查報告送達本公司者，本公司將提供本契約次一保單年度續期保險費 1％</t>
    <phoneticPr fontId="3" type="noConversion"/>
  </si>
  <si>
    <t xml:space="preserve">  之健康管理保險費折扣（以下簡稱健康折扣）。於同一指定期間內，被保險人無論接受幾次健康檢查，健康折扣均以一</t>
    <phoneticPr fontId="3" type="noConversion"/>
  </si>
  <si>
    <t xml:space="preserve">  癌症，本公司將不負「首次罹患癌症（初期）或癌症（輕度）」、「首次罹患癌症（重度）」、「首次罹患特定癌症（</t>
  </si>
  <si>
    <t>　重度）」各項保險金給付與保單條款約定豁免保險費之責。</t>
  </si>
  <si>
    <t>‧特定傷病：係指被保險人經醫院醫師診斷確定符合下列各目定義之特定傷病之一：</t>
  </si>
  <si>
    <t xml:space="preserve"> （一）嚴重全身性紅斑性狼瘡腎病變、（二）嚴重類風濕性關節炎</t>
  </si>
  <si>
    <t>豁免保險費</t>
    <phoneticPr fontId="3" type="noConversion"/>
  </si>
  <si>
    <t xml:space="preserve">  相關資訊，請洽本公司業務員、服務據點(免費服務及申訴電話：0809-000-550)或網站(www.fubon.com/life/)，</t>
    <phoneticPr fontId="3" type="noConversion"/>
  </si>
  <si>
    <t xml:space="preserve">  以保障您的權益。</t>
    <phoneticPr fontId="3" type="noConversion"/>
  </si>
  <si>
    <t>最高33.61%，最低20.62%</t>
    <phoneticPr fontId="81" type="noConversion"/>
  </si>
  <si>
    <t>保額限制(以萬為單位)：</t>
    <phoneticPr fontId="3" type="noConversion"/>
  </si>
  <si>
    <t>身故保險金或喪葬費用
保險金</t>
    <phoneticPr fontId="3" type="noConversion"/>
  </si>
  <si>
    <t>詳下表身故保障</t>
    <phoneticPr fontId="3" type="noConversion"/>
  </si>
  <si>
    <t>‧被保險人於本契約有效期間內且在保險年齡屆滿八十九歲仍生存者，本公司按當年度保險金額給付滿期保險金後，本契約效力即行終止。
‧給付時需扣除被保險人已依保單條款約定所應申領之各項保險金累計總額。</t>
    <phoneticPr fontId="3" type="noConversion"/>
  </si>
  <si>
    <t>‧被保險人如已申領「首次罹患癌症（初期）或癌症（輕度）保險金」者，則改按左列計算之給付金額扣除「首次罹患癌症（初期）或癌症（輕度）保險金」後之餘額，給付「首次罹患癌症（重度）保險金」。
‧本契約有效期間內，「首次罹患癌症（重度）保險金」以給付一次為限。</t>
    <phoneticPr fontId="3" type="noConversion"/>
  </si>
  <si>
    <t>‧被保險人於本契約第二保單年度起之有效期間內，不論同時或先後罹患二項特定傷病，本公司僅對其中一項特定傷病負給付「特定傷病保險金」之責任。若係同項特定傷病發生二次（含）以上者，本公司僅對其中一次特定傷病負給付「特定傷病保險金」之責任。</t>
    <phoneticPr fontId="3" type="noConversion"/>
  </si>
  <si>
    <t>‧被保險人於本契約有效期間內，不論同時或先後接受二項（含）以上特定手術項目，本公司僅對其中一項特定手術項目負給付「特定手術保險金」之責任。若係同項特定手術項目發生二次（含）以上者，本公司僅對其中一次特定手術項目負給付「特定手術保險金」之責任。</t>
    <phoneticPr fontId="3" type="noConversion"/>
  </si>
  <si>
    <t>年度
實繳保費</t>
    <phoneticPr fontId="3" type="noConversion"/>
  </si>
  <si>
    <t>累計
實繳保費</t>
    <phoneticPr fontId="3" type="noConversion"/>
  </si>
  <si>
    <r>
      <t>‧本契約符合下列情形之一者，本公司豁免自診斷確定日後本契約(不含附約)續期應繳之各期保險費，本契約繼續有效：
一、被保險人於</t>
    </r>
    <r>
      <rPr>
        <b/>
        <sz val="9"/>
        <rFont val="細明體"/>
        <family val="3"/>
        <charset val="136"/>
      </rPr>
      <t>等待期間</t>
    </r>
    <r>
      <rPr>
        <sz val="9"/>
        <rFont val="細明體"/>
        <family val="3"/>
        <charset val="136"/>
      </rPr>
      <t>屆滿後或復效日起之本契約有效且繳費期間內，始經病理檢驗確定符合保單條款約定之首
    次罹患癌症(重度)，並經醫院醫師診斷確定者。
二、被保險人於本契約有效且繳費期間內遭受保單條款約定之意外傷害事故，自意外傷害事故發生之日起一百八十
    日以內致成保單條款附表所列一至六級失能程度之一，並經醫院醫師診斷確定者。但超過一百八十日致成一至
    六級失能程度之一者，受益人若能證明被保險人之失能與該意外傷害事故具有因果關係者，不在此限。被保險   
    人因本次意外傷害事故所致之失能如合併以前(不含本契約訂立前)的失能，符合保單條款附表所列一至六級失
    能程度之一者，亦同。
‧前項情形，不論被保險人同時或先後致成幾項豁免保險費事故，本公司僅就一項豁免保險費事故負豁免保險費之責。經本公司同意豁免保險費後，非經被保險人同意，要保人不得終止本契約。</t>
    </r>
    <phoneticPr fontId="3" type="noConversion"/>
  </si>
  <si>
    <t>‧本契約有效期間內，「首次罹患癌症（初期）或癌症（輕度）保險金」以給付一次為限。同時或先後罹患癌症（初期）及癌症（輕度）者亦同。
‧被保險人已先符合或同時符合「首次罹患癌症（重度）保險金」給付條件者，本公司不負本條保險金給付之責。</t>
    <phoneticPr fontId="3" type="noConversion"/>
  </si>
  <si>
    <t>‧上表身故保障數值為假設被保險人於保險期間均未提出任何保險給付之數值，給付時需扣除被保險人已依保單條款約</t>
    <phoneticPr fontId="3" type="noConversion"/>
  </si>
  <si>
    <t xml:space="preserve">  定所應申領之各項保險金累計總額，實際保障數值依保單條款約定辦理。</t>
    <phoneticPr fontId="3" type="noConversion"/>
  </si>
  <si>
    <t>‧被保險人於本契約有效期間內身故者，本公司按當年度保險金額給付身故保險金後，本契約效力即行終止。
‧給付時需扣除被保險人已依保單條款約定所應申領之各項保險金累計總額。</t>
    <phoneticPr fontId="3" type="noConversion"/>
  </si>
  <si>
    <r>
      <t>‧疾病：係指被保險人</t>
    </r>
    <r>
      <rPr>
        <b/>
        <sz val="10"/>
        <color rgb="FF0000FF"/>
        <rFont val="細明體"/>
        <family val="3"/>
        <charset val="136"/>
      </rPr>
      <t>自本契約生效日起持續有效三十日以後或復效日起所發生之疾病</t>
    </r>
    <r>
      <rPr>
        <b/>
        <sz val="9"/>
        <color rgb="FF0000FF"/>
        <rFont val="細明體"/>
        <family val="3"/>
        <charset val="136"/>
      </rPr>
      <t>。</t>
    </r>
    <phoneticPr fontId="3" type="noConversion"/>
  </si>
  <si>
    <t xml:space="preserve">  次計算。</t>
    <phoneticPr fontId="3" type="noConversion"/>
  </si>
  <si>
    <t>‧被保險人如未於第一項約定之期限內提供健康檢查報告予本公司者，本契約次一保單年度即不提供健康折扣。</t>
    <phoneticPr fontId="3" type="noConversion"/>
  </si>
  <si>
    <r>
      <t>‧保險給付的限制：本契約被保險人於</t>
    </r>
    <r>
      <rPr>
        <b/>
        <sz val="10"/>
        <color rgb="FF0000FF"/>
        <rFont val="細明體"/>
        <family val="3"/>
        <charset val="136"/>
      </rPr>
      <t>等待期間</t>
    </r>
    <r>
      <rPr>
        <b/>
        <sz val="9"/>
        <color rgb="FF0000FF"/>
        <rFont val="細明體"/>
        <family val="3"/>
        <charset val="136"/>
      </rPr>
      <t>屆滿前或停效期間內， 已為病理檢驗確定被保險人罹患保單條款約定之</t>
    </r>
    <phoneticPr fontId="3" type="noConversion"/>
  </si>
  <si>
    <t>‧本契約第二保單年度之有效期間內，符合「首次罹患特定癌症（重度）保險金」給付條件，且該項癌症（重度）亦同時符合保單條款約定之特定癌症（重度）者，依首次診斷確定日之保單年度，給付「首次罹患特定癌症（重度）保險金」。
‧本契約有效期間內，「首次罹患特定癌症(重度)保險金」以給付一次為限。</t>
    <phoneticPr fontId="3" type="noConversion"/>
  </si>
  <si>
    <t>V1.1-1150409</t>
    <phoneticPr fontId="3" type="noConversion"/>
  </si>
  <si>
    <t>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</si>
</sst>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1" formatCode="_(* #,##0_);_(* \(#,##0\);_(* &quot;-&quot;_);_(@_)"/>
    <numFmt numFmtId="43" formatCode="_(* #,##0.00_);_(* \(#,##0.00\);_(* &quot;-&quot;??_);_(@_)"/>
    <numFmt numFmtId="176" formatCode="0.0%"/>
    <numFmt numFmtId="177" formatCode="#,##0_ "/>
    <numFmt numFmtId="178" formatCode="0_);[Red]\(0\)"/>
    <numFmt numFmtId="179" formatCode="0_ "/>
    <numFmt numFmtId="180" formatCode="#,##0\ &quot;歲&quot;"/>
    <numFmt numFmtId="181" formatCode="#,##0_ &quot;元&quot;"/>
    <numFmt numFmtId="182" formatCode="0\ &quot;歲&quot;"/>
    <numFmt numFmtId="183" formatCode="\(\1\)&quot;安&quot;&quot;泰&quot;&quot;人&quot;&quot;壽&quot;&quot;富&quot;&quot;貴&quot;&quot;保&quot;&quot;本&quot;&quot;終&quot;&quot;身&quot;&quot;壽&quot;&quot;險&quot;\ \(&quot;繳&quot;&quot;費&quot;\ 0\ &quot;年&quot;\)"/>
    <numFmt numFmtId="184" formatCode="0\ &quot;XRLD&quot;"/>
    <numFmt numFmtId="185" formatCode="#,##0\ &quot;歲&quot;;[Red]\ \-#,##0\ &quot;歲&quot;"/>
    <numFmt numFmtId="186" formatCode="0.00_ "/>
    <numFmt numFmtId="187" formatCode="0\ &quot;公&quot;&quot;分&quot;\ "/>
    <numFmt numFmtId="188" formatCode="0.0\ &quot;公&quot;&quot;斤&quot;"/>
    <numFmt numFmtId="189" formatCode="0.00_);[Red]\(0.00\)"/>
    <numFmt numFmtId="190" formatCode="#,##0.0_ "/>
    <numFmt numFmtId="191" formatCode="_-* #,##0_-;\-* #,##0_-;_-* &quot;&quot;??_-;_-@_-"/>
    <numFmt numFmtId="192" formatCode="0.0000_ "/>
    <numFmt numFmtId="193" formatCode="0.00000_ "/>
    <numFmt numFmtId="194" formatCode="#,##0.00_ "/>
    <numFmt numFmtId="195" formatCode="0.000_ "/>
    <numFmt numFmtId="196" formatCode="##.##"/>
  </numFmts>
  <fonts count="111">
    <font>
      <sz val="10"/>
      <name val="新細明體"/>
      <family val="3"/>
      <charset val="136"/>
    </font>
    <font>
      <b/>
      <sz val="10"/>
      <name val="新細明體"/>
      <family val="3"/>
      <charset val="136"/>
    </font>
    <font>
      <sz val="10"/>
      <name val="新細明體"/>
      <family val="3"/>
      <charset val="136"/>
    </font>
    <font>
      <sz val="9"/>
      <name val="新細明體"/>
      <family val="3"/>
      <charset val="136"/>
    </font>
    <font>
      <sz val="10"/>
      <name val="Arial"/>
      <family val="2"/>
    </font>
    <font>
      <sz val="12"/>
      <name val="Arial"/>
      <family val="2"/>
    </font>
    <font>
      <sz val="12"/>
      <name val="細明體"/>
      <family val="3"/>
      <charset val="136"/>
    </font>
    <font>
      <sz val="12"/>
      <name val="新細明體"/>
      <family val="3"/>
      <charset val="136"/>
    </font>
    <font>
      <sz val="12"/>
      <color indexed="9"/>
      <name val="新細明體"/>
      <family val="3"/>
      <charset val="136"/>
    </font>
    <font>
      <sz val="10"/>
      <color indexed="9"/>
      <name val="新細明體"/>
      <family val="3"/>
      <charset val="136"/>
    </font>
    <font>
      <b/>
      <sz val="16"/>
      <name val="標楷體"/>
      <family val="4"/>
      <charset val="136"/>
    </font>
    <font>
      <b/>
      <sz val="9"/>
      <name val="新細明體"/>
      <family val="3"/>
      <charset val="136"/>
    </font>
    <font>
      <b/>
      <sz val="10"/>
      <color indexed="10"/>
      <name val="新細明體"/>
      <family val="3"/>
      <charset val="136"/>
    </font>
    <font>
      <sz val="12"/>
      <color indexed="8"/>
      <name val="新細明體"/>
      <family val="3"/>
      <charset val="136"/>
    </font>
    <font>
      <b/>
      <sz val="16"/>
      <color indexed="9"/>
      <name val="Arial"/>
      <family val="2"/>
    </font>
    <font>
      <b/>
      <sz val="12"/>
      <name val="Arial"/>
      <family val="2"/>
    </font>
    <font>
      <b/>
      <sz val="12"/>
      <color indexed="9"/>
      <name val="Arial"/>
      <family val="2"/>
    </font>
    <font>
      <b/>
      <sz val="12"/>
      <color indexed="12"/>
      <name val="Arial"/>
      <family val="2"/>
    </font>
    <font>
      <b/>
      <sz val="12"/>
      <color indexed="10"/>
      <name val="Arial"/>
      <family val="2"/>
    </font>
    <font>
      <b/>
      <sz val="10"/>
      <color indexed="10"/>
      <name val="Arial"/>
      <family val="2"/>
    </font>
    <font>
      <sz val="12"/>
      <color indexed="12"/>
      <name val="Arial"/>
      <family val="2"/>
    </font>
    <font>
      <sz val="12"/>
      <color indexed="8"/>
      <name val="Arial"/>
      <family val="2"/>
    </font>
    <font>
      <b/>
      <sz val="12"/>
      <color indexed="53"/>
      <name val="Arial"/>
      <family val="2"/>
    </font>
    <font>
      <b/>
      <sz val="12"/>
      <color indexed="8"/>
      <name val="Arial"/>
      <family val="2"/>
    </font>
    <font>
      <sz val="12"/>
      <color indexed="9"/>
      <name val="Arial"/>
      <family val="2"/>
    </font>
    <font>
      <b/>
      <sz val="14"/>
      <color indexed="12"/>
      <name val="Arial"/>
      <family val="2"/>
    </font>
    <font>
      <b/>
      <sz val="14"/>
      <color indexed="10"/>
      <name val="Arial"/>
      <family val="2"/>
    </font>
    <font>
      <b/>
      <sz val="12"/>
      <name val="新細明體"/>
      <family val="3"/>
      <charset val="136"/>
    </font>
    <font>
      <b/>
      <sz val="12"/>
      <name val="細明體"/>
      <family val="3"/>
      <charset val="136"/>
    </font>
    <font>
      <b/>
      <sz val="16"/>
      <name val="新細明體"/>
      <family val="3"/>
      <charset val="136"/>
    </font>
    <font>
      <b/>
      <sz val="16"/>
      <name val="Arial"/>
      <family val="2"/>
    </font>
    <font>
      <b/>
      <sz val="10"/>
      <name val="Arial"/>
      <family val="2"/>
    </font>
    <font>
      <b/>
      <sz val="9"/>
      <name val="Arial"/>
      <family val="2"/>
    </font>
    <font>
      <sz val="12"/>
      <color indexed="10"/>
      <name val="Arial"/>
      <family val="2"/>
    </font>
    <font>
      <b/>
      <sz val="10"/>
      <name val="細明體"/>
      <family val="3"/>
      <charset val="136"/>
    </font>
    <font>
      <b/>
      <sz val="12"/>
      <color indexed="8"/>
      <name val="細明體"/>
      <family val="3"/>
      <charset val="136"/>
    </font>
    <font>
      <b/>
      <sz val="12"/>
      <color indexed="10"/>
      <name val="細明體"/>
      <family val="3"/>
      <charset val="136"/>
    </font>
    <font>
      <b/>
      <sz val="12"/>
      <color indexed="12"/>
      <name val="新細明體"/>
      <family val="3"/>
      <charset val="136"/>
    </font>
    <font>
      <sz val="9"/>
      <name val="細明體"/>
      <family val="3"/>
      <charset val="136"/>
    </font>
    <font>
      <sz val="10"/>
      <name val="細明體"/>
      <family val="3"/>
      <charset val="136"/>
    </font>
    <font>
      <sz val="9"/>
      <color indexed="9"/>
      <name val="新細明體"/>
      <family val="3"/>
      <charset val="136"/>
    </font>
    <font>
      <sz val="10"/>
      <color indexed="9"/>
      <name val="Arial"/>
      <family val="2"/>
    </font>
    <font>
      <b/>
      <sz val="8"/>
      <name val="新細明體"/>
      <family val="3"/>
      <charset val="136"/>
    </font>
    <font>
      <b/>
      <sz val="8"/>
      <name val="Arial"/>
      <family val="2"/>
    </font>
    <font>
      <sz val="8"/>
      <name val="Arial"/>
      <family val="2"/>
    </font>
    <font>
      <sz val="10"/>
      <name val="新細明體"/>
      <family val="3"/>
      <charset val="136"/>
    </font>
    <font>
      <sz val="8"/>
      <color indexed="8"/>
      <name val="Arial"/>
      <family val="2"/>
    </font>
    <font>
      <b/>
      <sz val="24"/>
      <name val="Arial"/>
      <family val="2"/>
    </font>
    <font>
      <b/>
      <sz val="8"/>
      <color indexed="10"/>
      <name val="新細明體"/>
      <family val="3"/>
      <charset val="136"/>
    </font>
    <font>
      <sz val="9"/>
      <color indexed="8"/>
      <name val="新細明體"/>
      <family val="3"/>
      <charset val="136"/>
    </font>
    <font>
      <b/>
      <sz val="12"/>
      <color indexed="10"/>
      <name val="新細明體"/>
      <family val="3"/>
      <charset val="136"/>
    </font>
    <font>
      <sz val="10"/>
      <color indexed="10"/>
      <name val="新細明體"/>
      <family val="3"/>
      <charset val="136"/>
    </font>
    <font>
      <b/>
      <sz val="9"/>
      <color indexed="8"/>
      <name val="細明體"/>
      <family val="3"/>
      <charset val="136"/>
    </font>
    <font>
      <b/>
      <sz val="9"/>
      <color indexed="10"/>
      <name val="細明體"/>
      <family val="3"/>
      <charset val="136"/>
    </font>
    <font>
      <b/>
      <sz val="9"/>
      <color indexed="12"/>
      <name val="細明體"/>
      <family val="3"/>
      <charset val="136"/>
    </font>
    <font>
      <b/>
      <sz val="9"/>
      <name val="細明體"/>
      <family val="3"/>
      <charset val="136"/>
    </font>
    <font>
      <b/>
      <sz val="14"/>
      <name val="標楷體"/>
      <family val="4"/>
      <charset val="136"/>
    </font>
    <font>
      <sz val="9"/>
      <color indexed="9"/>
      <name val="細明體"/>
      <family val="3"/>
      <charset val="136"/>
    </font>
    <font>
      <strike/>
      <sz val="9"/>
      <name val="新細明體"/>
      <family val="3"/>
      <charset val="136"/>
    </font>
    <font>
      <strike/>
      <sz val="10"/>
      <name val="Arial"/>
      <family val="2"/>
    </font>
    <font>
      <b/>
      <sz val="10"/>
      <color indexed="10"/>
      <name val="細明體"/>
      <family val="3"/>
      <charset val="136"/>
    </font>
    <font>
      <b/>
      <sz val="9"/>
      <color indexed="9"/>
      <name val="Arial"/>
      <family val="2"/>
    </font>
    <font>
      <b/>
      <sz val="9"/>
      <color indexed="9"/>
      <name val="細明體"/>
      <family val="3"/>
      <charset val="136"/>
    </font>
    <font>
      <b/>
      <sz val="10"/>
      <color indexed="9"/>
      <name val="Arial"/>
      <family val="2"/>
    </font>
    <font>
      <sz val="9"/>
      <name val="Arial"/>
      <family val="2"/>
    </font>
    <font>
      <sz val="9"/>
      <color indexed="8"/>
      <name val="Arial"/>
      <family val="2"/>
    </font>
    <font>
      <b/>
      <u/>
      <sz val="9"/>
      <color indexed="10"/>
      <name val="細明體"/>
      <family val="3"/>
      <charset val="136"/>
    </font>
    <font>
      <b/>
      <sz val="12"/>
      <name val="標楷體"/>
      <family val="4"/>
      <charset val="136"/>
    </font>
    <font>
      <b/>
      <sz val="18"/>
      <name val="標楷體"/>
      <family val="4"/>
      <charset val="136"/>
    </font>
    <font>
      <sz val="9"/>
      <name val="新細明體"/>
      <family val="3"/>
      <charset val="136"/>
    </font>
    <font>
      <sz val="10"/>
      <name val="新細明體"/>
      <family val="3"/>
      <charset val="136"/>
    </font>
    <font>
      <sz val="12"/>
      <name val="新細明體"/>
      <family val="3"/>
      <charset val="136"/>
    </font>
    <font>
      <b/>
      <u/>
      <sz val="10"/>
      <name val="新細明體"/>
      <family val="3"/>
      <charset val="136"/>
    </font>
    <font>
      <sz val="12"/>
      <color indexed="8"/>
      <name val="新細明體"/>
      <family val="3"/>
      <charset val="136"/>
    </font>
    <font>
      <sz val="10"/>
      <color theme="0"/>
      <name val="新細明體"/>
      <family val="3"/>
      <charset val="136"/>
    </font>
    <font>
      <b/>
      <sz val="9"/>
      <color rgb="FFFF0000"/>
      <name val="細明體"/>
      <family val="3"/>
      <charset val="136"/>
    </font>
    <font>
      <b/>
      <sz val="9"/>
      <color rgb="FF0000FF"/>
      <name val="細明體"/>
      <family val="3"/>
      <charset val="136"/>
    </font>
    <font>
      <b/>
      <u/>
      <sz val="9"/>
      <color rgb="FFFF0000"/>
      <name val="細明體"/>
      <family val="3"/>
      <charset val="136"/>
    </font>
    <font>
      <b/>
      <sz val="12"/>
      <color theme="0"/>
      <name val="細明體"/>
      <family val="3"/>
      <charset val="136"/>
    </font>
    <font>
      <b/>
      <sz val="11"/>
      <color rgb="FFFF0000"/>
      <name val="新細明體"/>
      <family val="3"/>
      <charset val="136"/>
    </font>
    <font>
      <b/>
      <sz val="9"/>
      <name val="新細明體"/>
      <family val="3"/>
      <charset val="136"/>
      <scheme val="minor"/>
    </font>
    <font>
      <sz val="9"/>
      <name val="新細明體"/>
      <family val="1"/>
      <charset val="136"/>
    </font>
    <font>
      <b/>
      <sz val="12"/>
      <color rgb="FF0000FF"/>
      <name val="Arial"/>
      <family val="2"/>
    </font>
    <font>
      <sz val="12"/>
      <name val="新細明體"/>
      <family val="1"/>
      <charset val="136"/>
    </font>
    <font>
      <sz val="12"/>
      <color indexed="9"/>
      <name val="新細明體"/>
      <family val="1"/>
      <charset val="136"/>
    </font>
    <font>
      <b/>
      <sz val="12"/>
      <name val="新細明體"/>
      <family val="1"/>
      <charset val="136"/>
    </font>
    <font>
      <b/>
      <sz val="12"/>
      <color indexed="12"/>
      <name val="新細明體"/>
      <family val="1"/>
      <charset val="136"/>
    </font>
    <font>
      <b/>
      <sz val="12"/>
      <color rgb="FFFF0000"/>
      <name val="Arial"/>
      <family val="2"/>
    </font>
    <font>
      <sz val="12"/>
      <color indexed="8"/>
      <name val="新細明體"/>
      <family val="1"/>
      <charset val="136"/>
    </font>
    <font>
      <sz val="9"/>
      <color indexed="8"/>
      <name val="新細明體"/>
      <family val="1"/>
      <charset val="136"/>
    </font>
    <font>
      <b/>
      <sz val="12"/>
      <color theme="1"/>
      <name val="Arial"/>
      <family val="2"/>
    </font>
    <font>
      <sz val="10"/>
      <name val="新細明體"/>
      <family val="1"/>
      <charset val="136"/>
    </font>
    <font>
      <b/>
      <sz val="12"/>
      <color theme="0"/>
      <name val="Arial"/>
      <family val="2"/>
    </font>
    <font>
      <b/>
      <sz val="12"/>
      <color indexed="8"/>
      <name val="新細明體"/>
      <family val="1"/>
      <charset val="136"/>
    </font>
    <font>
      <b/>
      <sz val="12"/>
      <color rgb="FF0000FF"/>
      <name val="新細明體"/>
      <family val="1"/>
      <charset val="136"/>
    </font>
    <font>
      <sz val="10"/>
      <color rgb="FF0000FF"/>
      <name val="新細明體"/>
      <family val="1"/>
      <charset val="136"/>
    </font>
    <font>
      <sz val="10"/>
      <color indexed="9"/>
      <name val="細明體"/>
      <family val="3"/>
      <charset val="136"/>
    </font>
    <font>
      <b/>
      <sz val="12"/>
      <color rgb="FFFF0000"/>
      <name val="新細明體"/>
      <family val="1"/>
      <charset val="136"/>
    </font>
    <font>
      <b/>
      <sz val="9"/>
      <color indexed="8"/>
      <name val="Arial"/>
      <family val="2"/>
    </font>
    <font>
      <b/>
      <sz val="8"/>
      <name val="細明體"/>
      <family val="3"/>
      <charset val="136"/>
    </font>
    <font>
      <b/>
      <sz val="9"/>
      <color indexed="10"/>
      <name val="新細明體"/>
      <family val="1"/>
      <charset val="136"/>
    </font>
    <font>
      <sz val="12"/>
      <color theme="5" tint="-0.249977111117893"/>
      <name val="新細明體"/>
      <family val="3"/>
      <charset val="136"/>
    </font>
    <font>
      <sz val="9"/>
      <color theme="5" tint="-0.249977111117893"/>
      <name val="新細明體"/>
      <family val="3"/>
      <charset val="136"/>
    </font>
    <font>
      <b/>
      <sz val="12"/>
      <color theme="1"/>
      <name val="細明體"/>
      <family val="3"/>
      <charset val="136"/>
    </font>
    <font>
      <b/>
      <sz val="22"/>
      <name val="標楷體"/>
      <family val="4"/>
      <charset val="136"/>
    </font>
    <font>
      <b/>
      <sz val="22"/>
      <name val="Arial"/>
      <family val="2"/>
    </font>
    <font>
      <b/>
      <sz val="12"/>
      <name val="微軟正黑體"/>
      <family val="2"/>
      <charset val="136"/>
    </font>
    <font>
      <b/>
      <sz val="10"/>
      <color rgb="FFFF0000"/>
      <name val="細明體"/>
      <family val="3"/>
      <charset val="136"/>
    </font>
    <font>
      <sz val="11"/>
      <color theme="1"/>
      <name val="Calibri"/>
      <family val="2"/>
    </font>
    <font>
      <sz val="11"/>
      <name val="Calibri"/>
      <family val="2"/>
    </font>
    <font>
      <b/>
      <sz val="10"/>
      <color rgb="FF0000FF"/>
      <name val="細明體"/>
      <family val="3"/>
      <charset val="136"/>
    </font>
  </fonts>
  <fills count="26">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solid">
        <fgColor indexed="53"/>
        <bgColor indexed="64"/>
      </patternFill>
    </fill>
    <fill>
      <patternFill patternType="solid">
        <fgColor indexed="10"/>
        <bgColor indexed="64"/>
      </patternFill>
    </fill>
    <fill>
      <patternFill patternType="solid">
        <fgColor indexed="22"/>
        <bgColor indexed="0"/>
      </patternFill>
    </fill>
    <fill>
      <patternFill patternType="solid">
        <fgColor indexed="5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
      <patternFill patternType="solid">
        <fgColor theme="8" tint="0.79998168889431442"/>
        <bgColor indexed="64"/>
      </patternFill>
    </fill>
    <fill>
      <patternFill patternType="solid">
        <fgColor rgb="FF92D050"/>
        <bgColor indexed="64"/>
      </patternFill>
    </fill>
    <fill>
      <patternFill patternType="solid">
        <fgColor theme="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indexed="45"/>
        <bgColor indexed="64"/>
      </patternFill>
    </fill>
    <fill>
      <patternFill patternType="solid">
        <fgColor theme="8" tint="0.79995117038483843"/>
        <bgColor indexed="64"/>
      </patternFill>
    </fill>
    <fill>
      <patternFill patternType="solid">
        <fgColor theme="6" tint="0.79998168889431442"/>
        <bgColor indexed="64"/>
      </patternFill>
    </fill>
    <fill>
      <patternFill patternType="solid">
        <fgColor indexed="42"/>
        <bgColor indexed="64"/>
      </patternFill>
    </fill>
    <fill>
      <patternFill patternType="solid">
        <fgColor rgb="FFDAEEF3"/>
        <bgColor indexed="64"/>
      </patternFill>
    </fill>
  </fills>
  <borders count="29">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thin">
        <color indexed="9"/>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double">
        <color indexed="10"/>
      </left>
      <right style="double">
        <color indexed="10"/>
      </right>
      <top style="double">
        <color indexed="10"/>
      </top>
      <bottom style="thin">
        <color indexed="10"/>
      </bottom>
      <diagonal/>
    </border>
    <border>
      <left/>
      <right style="thin">
        <color indexed="64"/>
      </right>
      <top style="thin">
        <color indexed="64"/>
      </top>
      <bottom style="thin">
        <color indexed="64"/>
      </bottom>
      <diagonal/>
    </border>
    <border>
      <left style="double">
        <color indexed="53"/>
      </left>
      <right style="double">
        <color indexed="53"/>
      </right>
      <top style="thin">
        <color indexed="10"/>
      </top>
      <bottom style="thin">
        <color indexed="53"/>
      </bottom>
      <diagonal/>
    </border>
    <border>
      <left style="double">
        <color indexed="53"/>
      </left>
      <right style="double">
        <color indexed="53"/>
      </right>
      <top style="thin">
        <color indexed="53"/>
      </top>
      <bottom style="thin">
        <color indexed="53"/>
      </bottom>
      <diagonal/>
    </border>
    <border>
      <left/>
      <right/>
      <top style="thin">
        <color indexed="64"/>
      </top>
      <bottom/>
      <diagonal/>
    </border>
    <border>
      <left style="double">
        <color indexed="48"/>
      </left>
      <right style="double">
        <color indexed="48"/>
      </right>
      <top style="thin">
        <color indexed="48"/>
      </top>
      <bottom style="double">
        <color indexed="48"/>
      </bottom>
      <diagonal/>
    </border>
    <border>
      <left style="thin">
        <color indexed="64"/>
      </left>
      <right/>
      <top style="thin">
        <color indexed="64"/>
      </top>
      <bottom style="thin">
        <color indexed="64"/>
      </bottom>
      <diagonal/>
    </border>
    <border>
      <left/>
      <right/>
      <top style="thick">
        <color indexed="58"/>
      </top>
      <bottom/>
      <diagonal/>
    </border>
    <border>
      <left style="double">
        <color indexed="53"/>
      </left>
      <right style="double">
        <color indexed="53"/>
      </right>
      <top style="thin">
        <color indexed="53"/>
      </top>
      <bottom/>
      <diagonal/>
    </border>
    <border>
      <left style="double">
        <color indexed="48"/>
      </left>
      <right style="double">
        <color indexed="48"/>
      </right>
      <top/>
      <bottom style="thin">
        <color indexed="48"/>
      </bottom>
      <diagonal/>
    </border>
    <border>
      <left style="thin">
        <color indexed="8"/>
      </left>
      <right style="thin">
        <color indexed="8"/>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style="thick">
        <color indexed="58"/>
      </top>
      <bottom/>
      <diagonal/>
    </border>
    <border>
      <left/>
      <right style="thin">
        <color indexed="64"/>
      </right>
      <top style="thick">
        <color indexed="58"/>
      </top>
      <bottom/>
      <diagonal/>
    </border>
    <border>
      <left style="thin">
        <color indexed="9"/>
      </left>
      <right/>
      <top/>
      <bottom/>
      <diagonal/>
    </border>
    <border>
      <left/>
      <right/>
      <top style="thin">
        <color auto="1"/>
      </top>
      <bottom/>
      <diagonal/>
    </border>
  </borders>
  <cellStyleXfs count="25">
    <xf numFmtId="0" fontId="0" fillId="0" borderId="0"/>
    <xf numFmtId="0" fontId="2" fillId="0" borderId="0"/>
    <xf numFmtId="0" fontId="70" fillId="0" borderId="0"/>
    <xf numFmtId="0" fontId="4" fillId="0" borderId="0"/>
    <xf numFmtId="0" fontId="7" fillId="0" borderId="0"/>
    <xf numFmtId="0" fontId="13" fillId="0" borderId="0"/>
    <xf numFmtId="0" fontId="4" fillId="0" borderId="0"/>
    <xf numFmtId="0" fontId="13" fillId="0" borderId="0"/>
    <xf numFmtId="0" fontId="73" fillId="0" borderId="0"/>
    <xf numFmtId="0" fontId="13" fillId="0" borderId="0"/>
    <xf numFmtId="0" fontId="13" fillId="0" borderId="0"/>
    <xf numFmtId="0" fontId="7" fillId="0" borderId="0">
      <alignment vertical="center"/>
    </xf>
    <xf numFmtId="0" fontId="4" fillId="0" borderId="0"/>
    <xf numFmtId="43" fontId="2" fillId="0" borderId="0" applyFont="0" applyFill="0" applyBorder="0" applyAlignment="0" applyProtection="0"/>
    <xf numFmtId="41" fontId="2" fillId="0" borderId="0" applyFont="0" applyFill="0" applyBorder="0" applyAlignment="0" applyProtection="0"/>
    <xf numFmtId="0" fontId="91" fillId="0" borderId="0"/>
    <xf numFmtId="0" fontId="88" fillId="0" borderId="0"/>
    <xf numFmtId="0" fontId="7" fillId="0" borderId="0">
      <alignment vertical="center"/>
    </xf>
    <xf numFmtId="0" fontId="2" fillId="0" borderId="0"/>
    <xf numFmtId="0" fontId="7" fillId="0" borderId="0">
      <alignment vertical="center"/>
    </xf>
    <xf numFmtId="0" fontId="88" fillId="0" borderId="0"/>
    <xf numFmtId="0" fontId="13" fillId="0" borderId="0"/>
    <xf numFmtId="0" fontId="13" fillId="0" borderId="0"/>
    <xf numFmtId="0" fontId="13" fillId="0" borderId="0"/>
    <xf numFmtId="9" fontId="2" fillId="0" borderId="0" applyFont="0" applyFill="0" applyBorder="0" applyAlignment="0" applyProtection="0">
      <alignment vertical="center"/>
    </xf>
  </cellStyleXfs>
  <cellXfs count="561">
    <xf numFmtId="0" fontId="0" fillId="0" borderId="0" xfId="0"/>
    <xf numFmtId="0" fontId="5" fillId="0" borderId="0" xfId="1" applyFont="1"/>
    <xf numFmtId="0" fontId="6" fillId="0" borderId="0" xfId="1" applyFont="1"/>
    <xf numFmtId="0" fontId="7" fillId="2" borderId="0" xfId="12" applyFont="1" applyFill="1" applyAlignment="1" applyProtection="1">
      <alignment vertical="center"/>
      <protection hidden="1"/>
    </xf>
    <xf numFmtId="0" fontId="7" fillId="0" borderId="0" xfId="12" applyFont="1" applyAlignment="1" applyProtection="1">
      <alignment vertical="center"/>
      <protection hidden="1"/>
    </xf>
    <xf numFmtId="0" fontId="8" fillId="2" borderId="0" xfId="12" applyFont="1" applyFill="1" applyAlignment="1" applyProtection="1">
      <alignment vertical="center"/>
      <protection hidden="1"/>
    </xf>
    <xf numFmtId="178" fontId="8" fillId="2" borderId="0" xfId="12" applyNumberFormat="1" applyFont="1" applyFill="1" applyAlignment="1" applyProtection="1">
      <alignment vertical="center"/>
      <protection hidden="1"/>
    </xf>
    <xf numFmtId="0" fontId="0" fillId="0" borderId="0" xfId="1" applyFont="1" applyProtection="1">
      <protection hidden="1"/>
    </xf>
    <xf numFmtId="0" fontId="1" fillId="0" borderId="0" xfId="1" applyFont="1" applyProtection="1">
      <protection hidden="1"/>
    </xf>
    <xf numFmtId="57" fontId="0" fillId="0" borderId="0" xfId="1" applyNumberFormat="1" applyFont="1" applyProtection="1">
      <protection hidden="1"/>
    </xf>
    <xf numFmtId="0" fontId="9" fillId="0" borderId="0" xfId="1" applyFont="1" applyProtection="1">
      <protection hidden="1"/>
    </xf>
    <xf numFmtId="0" fontId="9" fillId="0" borderId="0" xfId="1" applyFont="1" applyAlignment="1" applyProtection="1">
      <alignment horizontal="right"/>
      <protection hidden="1"/>
    </xf>
    <xf numFmtId="0" fontId="3" fillId="0" borderId="0" xfId="1" applyFont="1" applyProtection="1">
      <protection hidden="1"/>
    </xf>
    <xf numFmtId="0" fontId="16" fillId="0" borderId="0" xfId="12" applyFont="1" applyAlignment="1" applyProtection="1">
      <alignment horizontal="center" vertical="center"/>
      <protection hidden="1"/>
    </xf>
    <xf numFmtId="0" fontId="31" fillId="0" borderId="0" xfId="1" applyFont="1" applyProtection="1">
      <protection hidden="1"/>
    </xf>
    <xf numFmtId="0" fontId="1" fillId="0" borderId="0" xfId="1" applyFont="1" applyAlignment="1" applyProtection="1">
      <alignment horizontal="right"/>
      <protection hidden="1"/>
    </xf>
    <xf numFmtId="0" fontId="11" fillId="0" borderId="0" xfId="1" applyFont="1" applyAlignment="1" applyProtection="1">
      <alignment horizontal="right" shrinkToFit="1"/>
      <protection hidden="1"/>
    </xf>
    <xf numFmtId="0" fontId="31" fillId="0" borderId="0" xfId="1" applyFont="1" applyAlignment="1" applyProtection="1">
      <alignment horizontal="center"/>
      <protection hidden="1"/>
    </xf>
    <xf numFmtId="0" fontId="5" fillId="0" borderId="2" xfId="1" applyFont="1" applyBorder="1"/>
    <xf numFmtId="183" fontId="34" fillId="0" borderId="0" xfId="1" applyNumberFormat="1" applyFont="1" applyAlignment="1" applyProtection="1">
      <alignment horizontal="left" vertical="center"/>
      <protection hidden="1"/>
    </xf>
    <xf numFmtId="0" fontId="34" fillId="0" borderId="0" xfId="1" applyFont="1" applyAlignment="1" applyProtection="1">
      <alignment horizontal="left" vertical="center"/>
      <protection hidden="1"/>
    </xf>
    <xf numFmtId="0" fontId="31" fillId="0" borderId="0" xfId="1" applyFont="1" applyAlignment="1" applyProtection="1">
      <alignment horizontal="left"/>
      <protection hidden="1"/>
    </xf>
    <xf numFmtId="0" fontId="1" fillId="0" borderId="0" xfId="1" applyFont="1" applyAlignment="1" applyProtection="1">
      <alignment vertical="center"/>
      <protection hidden="1"/>
    </xf>
    <xf numFmtId="57" fontId="1" fillId="0" borderId="0" xfId="1" applyNumberFormat="1" applyFont="1" applyAlignment="1" applyProtection="1">
      <alignment vertical="center"/>
      <protection hidden="1"/>
    </xf>
    <xf numFmtId="57" fontId="45" fillId="0" borderId="0" xfId="1" applyNumberFormat="1" applyFont="1" applyAlignment="1" applyProtection="1">
      <alignment vertical="center"/>
      <protection hidden="1"/>
    </xf>
    <xf numFmtId="0" fontId="45" fillId="0" borderId="0" xfId="1" applyFont="1" applyAlignment="1" applyProtection="1">
      <alignment vertical="center"/>
      <protection hidden="1"/>
    </xf>
    <xf numFmtId="0" fontId="4" fillId="0" borderId="0" xfId="1" applyFont="1" applyAlignment="1" applyProtection="1">
      <alignment vertical="center"/>
      <protection hidden="1"/>
    </xf>
    <xf numFmtId="0" fontId="39" fillId="0" borderId="0" xfId="1" applyFont="1"/>
    <xf numFmtId="0" fontId="4" fillId="0" borderId="0" xfId="1" applyFont="1"/>
    <xf numFmtId="0" fontId="4" fillId="0" borderId="0" xfId="1" applyFont="1" applyProtection="1">
      <protection hidden="1"/>
    </xf>
    <xf numFmtId="57" fontId="31" fillId="0" borderId="0" xfId="1" applyNumberFormat="1" applyFont="1" applyAlignment="1" applyProtection="1">
      <alignment horizontal="center" shrinkToFit="1"/>
      <protection hidden="1"/>
    </xf>
    <xf numFmtId="0" fontId="18" fillId="0" borderId="0" xfId="12" applyFont="1" applyAlignment="1" applyProtection="1">
      <alignment horizontal="center" vertical="center"/>
      <protection hidden="1"/>
    </xf>
    <xf numFmtId="0" fontId="27" fillId="0" borderId="0" xfId="12" applyFont="1" applyAlignment="1" applyProtection="1">
      <alignment horizontal="center" vertical="center"/>
      <protection hidden="1"/>
    </xf>
    <xf numFmtId="0" fontId="15" fillId="0" borderId="0" xfId="12" applyFont="1" applyAlignment="1" applyProtection="1">
      <alignment horizontal="center" vertical="center"/>
      <protection hidden="1"/>
    </xf>
    <xf numFmtId="180" fontId="17" fillId="0" borderId="0" xfId="12" applyNumberFormat="1" applyFont="1" applyAlignment="1" applyProtection="1">
      <alignment horizontal="center" vertical="center"/>
      <protection hidden="1"/>
    </xf>
    <xf numFmtId="0" fontId="21" fillId="0" borderId="0" xfId="12" applyFont="1" applyAlignment="1" applyProtection="1">
      <alignment horizontal="center" vertical="center" wrapText="1"/>
      <protection hidden="1"/>
    </xf>
    <xf numFmtId="0" fontId="9" fillId="0" borderId="0" xfId="1" applyFont="1" applyAlignment="1" applyProtection="1">
      <alignment vertical="center"/>
      <protection hidden="1"/>
    </xf>
    <xf numFmtId="0" fontId="30" fillId="0" borderId="0" xfId="12" applyFont="1" applyAlignment="1" applyProtection="1">
      <alignment horizontal="center" vertical="center"/>
      <protection hidden="1"/>
    </xf>
    <xf numFmtId="0" fontId="5" fillId="0" borderId="0" xfId="12" applyFont="1" applyAlignment="1" applyProtection="1">
      <alignment horizontal="center" vertical="center"/>
      <protection hidden="1"/>
    </xf>
    <xf numFmtId="185" fontId="17" fillId="0" borderId="0" xfId="12" applyNumberFormat="1" applyFont="1" applyAlignment="1" applyProtection="1">
      <alignment horizontal="center" vertical="center"/>
      <protection hidden="1"/>
    </xf>
    <xf numFmtId="0" fontId="17" fillId="0" borderId="0" xfId="12" applyFont="1" applyAlignment="1" applyProtection="1">
      <alignment horizontal="center" vertical="center"/>
      <protection hidden="1"/>
    </xf>
    <xf numFmtId="0" fontId="35" fillId="0" borderId="0" xfId="12" applyFont="1" applyAlignment="1" applyProtection="1">
      <alignment horizontal="center" vertical="center" wrapText="1"/>
      <protection hidden="1"/>
    </xf>
    <xf numFmtId="0" fontId="33" fillId="0" borderId="0" xfId="12" applyFont="1" applyAlignment="1" applyProtection="1">
      <alignment horizontal="center" vertical="center"/>
      <protection hidden="1"/>
    </xf>
    <xf numFmtId="0" fontId="22" fillId="0" borderId="0" xfId="12" applyFont="1" applyAlignment="1" applyProtection="1">
      <alignment horizontal="center" vertical="center"/>
      <protection hidden="1"/>
    </xf>
    <xf numFmtId="0" fontId="21" fillId="0" borderId="0" xfId="12" applyFont="1" applyAlignment="1" applyProtection="1">
      <alignment horizontal="center" vertical="center"/>
      <protection hidden="1"/>
    </xf>
    <xf numFmtId="0" fontId="24" fillId="0" borderId="0" xfId="12" applyFont="1" applyAlignment="1" applyProtection="1">
      <alignment horizontal="center" vertical="center"/>
      <protection hidden="1"/>
    </xf>
    <xf numFmtId="0" fontId="28" fillId="0" borderId="0" xfId="12" applyFont="1" applyAlignment="1" applyProtection="1">
      <alignment horizontal="right" vertical="center"/>
      <protection hidden="1"/>
    </xf>
    <xf numFmtId="0" fontId="5" fillId="0" borderId="0" xfId="12" applyFont="1" applyAlignment="1" applyProtection="1">
      <alignment horizontal="right" vertical="center"/>
      <protection hidden="1"/>
    </xf>
    <xf numFmtId="0" fontId="7" fillId="0" borderId="0" xfId="12" applyFont="1" applyAlignment="1" applyProtection="1">
      <alignment horizontal="center" vertical="center"/>
      <protection hidden="1"/>
    </xf>
    <xf numFmtId="177" fontId="17" fillId="0" borderId="0" xfId="12" applyNumberFormat="1" applyFont="1" applyAlignment="1" applyProtection="1">
      <alignment horizontal="center" vertical="center"/>
      <protection hidden="1"/>
    </xf>
    <xf numFmtId="0" fontId="2" fillId="0" borderId="0" xfId="1"/>
    <xf numFmtId="0" fontId="37" fillId="0" borderId="0" xfId="12" applyFont="1" applyAlignment="1" applyProtection="1">
      <alignment horizontal="center" vertical="center" shrinkToFit="1"/>
      <protection hidden="1"/>
    </xf>
    <xf numFmtId="185" fontId="15" fillId="0" borderId="0" xfId="12" applyNumberFormat="1" applyFont="1" applyAlignment="1" applyProtection="1">
      <alignment horizontal="center" vertical="center" shrinkToFit="1"/>
      <protection hidden="1"/>
    </xf>
    <xf numFmtId="0" fontId="30" fillId="0" borderId="0" xfId="12" applyFont="1" applyAlignment="1" applyProtection="1">
      <alignment vertical="center"/>
      <protection hidden="1"/>
    </xf>
    <xf numFmtId="0" fontId="7" fillId="0" borderId="2" xfId="11" applyBorder="1" applyAlignment="1">
      <alignment horizontal="center" vertical="center"/>
    </xf>
    <xf numFmtId="14" fontId="7" fillId="3" borderId="2" xfId="11" applyNumberFormat="1" applyFill="1" applyBorder="1" applyAlignment="1">
      <alignment horizontal="center" vertical="center"/>
    </xf>
    <xf numFmtId="178" fontId="7" fillId="0" borderId="2" xfId="11" applyNumberFormat="1" applyBorder="1" applyAlignment="1">
      <alignment horizontal="center" vertical="center"/>
    </xf>
    <xf numFmtId="14" fontId="7" fillId="0" borderId="2" xfId="11" applyNumberFormat="1" applyBorder="1" applyAlignment="1">
      <alignment horizontal="center" vertical="center"/>
    </xf>
    <xf numFmtId="0" fontId="7" fillId="4" borderId="2" xfId="11" applyFill="1" applyBorder="1" applyAlignment="1">
      <alignment horizontal="center" vertical="center"/>
    </xf>
    <xf numFmtId="0" fontId="7" fillId="0" borderId="0" xfId="11">
      <alignment vertical="center"/>
    </xf>
    <xf numFmtId="182" fontId="18" fillId="0" borderId="3" xfId="12" applyNumberFormat="1" applyFont="1" applyBorder="1" applyAlignment="1" applyProtection="1">
      <alignment horizontal="left" vertical="center"/>
      <protection hidden="1"/>
    </xf>
    <xf numFmtId="0" fontId="2" fillId="0" borderId="0" xfId="11" applyFont="1">
      <alignment vertical="center"/>
    </xf>
    <xf numFmtId="0" fontId="7" fillId="0" borderId="0" xfId="11" applyAlignment="1">
      <alignment horizontal="center" vertical="center"/>
    </xf>
    <xf numFmtId="0" fontId="7" fillId="3" borderId="0" xfId="11" applyFill="1">
      <alignment vertical="center"/>
    </xf>
    <xf numFmtId="0" fontId="7" fillId="0" borderId="2" xfId="11" applyBorder="1">
      <alignment vertical="center"/>
    </xf>
    <xf numFmtId="0" fontId="7" fillId="5" borderId="2" xfId="11" applyFill="1" applyBorder="1" applyAlignment="1">
      <alignment horizontal="center" vertical="center"/>
    </xf>
    <xf numFmtId="0" fontId="7" fillId="6" borderId="2" xfId="11" applyFill="1" applyBorder="1">
      <alignment vertical="center"/>
    </xf>
    <xf numFmtId="177" fontId="7" fillId="0" borderId="2" xfId="11" applyNumberFormat="1" applyBorder="1" applyAlignment="1">
      <alignment horizontal="center" vertical="center"/>
    </xf>
    <xf numFmtId="176" fontId="7" fillId="0" borderId="2" xfId="11" applyNumberFormat="1" applyBorder="1" applyAlignment="1">
      <alignment horizontal="center" vertical="center"/>
    </xf>
    <xf numFmtId="0" fontId="7" fillId="4" borderId="4" xfId="11" applyFill="1" applyBorder="1" applyAlignment="1">
      <alignment horizontal="center" vertical="center"/>
    </xf>
    <xf numFmtId="0" fontId="7" fillId="6" borderId="4" xfId="11" applyFill="1" applyBorder="1">
      <alignment vertical="center"/>
    </xf>
    <xf numFmtId="0" fontId="7" fillId="7" borderId="2" xfId="11" applyFill="1" applyBorder="1" applyAlignment="1">
      <alignment horizontal="center" vertical="center"/>
    </xf>
    <xf numFmtId="0" fontId="7" fillId="7" borderId="2" xfId="11" applyFill="1" applyBorder="1">
      <alignment vertical="center"/>
    </xf>
    <xf numFmtId="0" fontId="7" fillId="0" borderId="5" xfId="11" applyBorder="1" applyAlignment="1">
      <alignment horizontal="center" vertical="center"/>
    </xf>
    <xf numFmtId="0" fontId="7" fillId="0" borderId="6" xfId="11" applyBorder="1" applyAlignment="1">
      <alignment horizontal="center" vertical="center"/>
    </xf>
    <xf numFmtId="0" fontId="7" fillId="4" borderId="7" xfId="11" applyFill="1" applyBorder="1" applyAlignment="1">
      <alignment horizontal="center" vertical="center"/>
    </xf>
    <xf numFmtId="0" fontId="7" fillId="6" borderId="7" xfId="11" applyFill="1" applyBorder="1">
      <alignment vertical="center"/>
    </xf>
    <xf numFmtId="0" fontId="2" fillId="0" borderId="0" xfId="1" applyAlignment="1" applyProtection="1">
      <alignment horizontal="left"/>
      <protection hidden="1"/>
    </xf>
    <xf numFmtId="0" fontId="7" fillId="7" borderId="0" xfId="11" applyFill="1" applyAlignment="1">
      <alignment horizontal="center" vertical="center"/>
    </xf>
    <xf numFmtId="0" fontId="7" fillId="7" borderId="0" xfId="11" applyFill="1">
      <alignment vertical="center"/>
    </xf>
    <xf numFmtId="0" fontId="7" fillId="0" borderId="0" xfId="1" applyFont="1"/>
    <xf numFmtId="0" fontId="7" fillId="7" borderId="8" xfId="11" applyFill="1" applyBorder="1" applyAlignment="1">
      <alignment horizontal="center" vertical="center"/>
    </xf>
    <xf numFmtId="0" fontId="7" fillId="0" borderId="9" xfId="11" applyBorder="1">
      <alignment vertical="center"/>
    </xf>
    <xf numFmtId="0" fontId="7" fillId="0" borderId="10" xfId="11" applyBorder="1">
      <alignment vertical="center"/>
    </xf>
    <xf numFmtId="177" fontId="7" fillId="0" borderId="0" xfId="11" applyNumberFormat="1" applyAlignment="1">
      <alignment horizontal="center" vertical="center"/>
    </xf>
    <xf numFmtId="0" fontId="7" fillId="0" borderId="4" xfId="11" applyBorder="1">
      <alignment vertical="center"/>
    </xf>
    <xf numFmtId="0" fontId="7" fillId="0" borderId="11" xfId="11" applyBorder="1">
      <alignment vertical="center"/>
    </xf>
    <xf numFmtId="0" fontId="7" fillId="0" borderId="12" xfId="11" applyBorder="1">
      <alignment vertical="center"/>
    </xf>
    <xf numFmtId="176" fontId="7" fillId="0" borderId="13" xfId="11" applyNumberFormat="1" applyBorder="1" applyAlignment="1">
      <alignment horizontal="center" vertical="center"/>
    </xf>
    <xf numFmtId="0" fontId="7" fillId="0" borderId="14" xfId="11" applyBorder="1">
      <alignment vertical="center"/>
    </xf>
    <xf numFmtId="0" fontId="7" fillId="0" borderId="0" xfId="11" applyAlignment="1">
      <alignment horizontal="right" vertical="center"/>
    </xf>
    <xf numFmtId="0" fontId="7" fillId="0" borderId="15" xfId="11" applyBorder="1">
      <alignment vertical="center"/>
    </xf>
    <xf numFmtId="0" fontId="7" fillId="0" borderId="16" xfId="11" applyBorder="1">
      <alignment vertical="center"/>
    </xf>
    <xf numFmtId="10" fontId="7" fillId="0" borderId="0" xfId="11" applyNumberFormat="1" applyAlignment="1">
      <alignment horizontal="center" vertical="center"/>
    </xf>
    <xf numFmtId="0" fontId="7" fillId="0" borderId="17" xfId="11" applyBorder="1">
      <alignment vertical="center"/>
    </xf>
    <xf numFmtId="179" fontId="7" fillId="0" borderId="2" xfId="11" applyNumberFormat="1" applyBorder="1" applyAlignment="1">
      <alignment horizontal="center" vertical="center"/>
    </xf>
    <xf numFmtId="0" fontId="7" fillId="0" borderId="18" xfId="11" applyBorder="1" applyAlignment="1">
      <alignment horizontal="center" vertical="center"/>
    </xf>
    <xf numFmtId="0" fontId="7" fillId="0" borderId="8" xfId="11" applyBorder="1">
      <alignment vertical="center"/>
    </xf>
    <xf numFmtId="10" fontId="7" fillId="8" borderId="2" xfId="11" applyNumberFormat="1" applyFill="1" applyBorder="1" applyAlignment="1">
      <alignment horizontal="center" vertical="center"/>
    </xf>
    <xf numFmtId="176" fontId="7" fillId="0" borderId="0" xfId="11" applyNumberFormat="1" applyAlignment="1">
      <alignment horizontal="center" vertical="center"/>
    </xf>
    <xf numFmtId="0" fontId="51" fillId="0" borderId="0" xfId="11" applyFont="1">
      <alignment vertical="center"/>
    </xf>
    <xf numFmtId="49" fontId="7" fillId="0" borderId="0" xfId="11" applyNumberFormat="1" applyAlignment="1">
      <alignment horizontal="center" vertical="center"/>
    </xf>
    <xf numFmtId="0" fontId="50" fillId="0" borderId="0" xfId="11" applyFont="1">
      <alignment vertical="center"/>
    </xf>
    <xf numFmtId="180" fontId="15" fillId="0" borderId="0" xfId="12" applyNumberFormat="1" applyFont="1" applyAlignment="1" applyProtection="1">
      <alignment horizontal="center" vertical="center" shrinkToFit="1"/>
      <protection hidden="1"/>
    </xf>
    <xf numFmtId="0" fontId="38" fillId="0" borderId="0" xfId="1" applyFont="1"/>
    <xf numFmtId="0" fontId="40" fillId="0" borderId="0" xfId="1" applyFont="1" applyAlignment="1" applyProtection="1">
      <alignment vertical="center"/>
      <protection hidden="1"/>
    </xf>
    <xf numFmtId="0" fontId="3" fillId="0" borderId="0" xfId="1" applyFont="1" applyAlignment="1" applyProtection="1">
      <alignment vertical="center"/>
      <protection hidden="1"/>
    </xf>
    <xf numFmtId="0" fontId="5" fillId="0" borderId="19" xfId="12" applyFont="1" applyBorder="1" applyAlignment="1" applyProtection="1">
      <alignment horizontal="center" vertical="center"/>
      <protection hidden="1"/>
    </xf>
    <xf numFmtId="0" fontId="21" fillId="0" borderId="19" xfId="12" applyFont="1" applyBorder="1" applyAlignment="1" applyProtection="1">
      <alignment horizontal="center" vertical="center" wrapText="1"/>
      <protection hidden="1"/>
    </xf>
    <xf numFmtId="14" fontId="7" fillId="0" borderId="0" xfId="11" applyNumberFormat="1">
      <alignment vertical="center"/>
    </xf>
    <xf numFmtId="0" fontId="49" fillId="0" borderId="0" xfId="1" applyFont="1" applyAlignment="1">
      <alignment wrapText="1"/>
    </xf>
    <xf numFmtId="0" fontId="49" fillId="0" borderId="0" xfId="1" applyFont="1" applyAlignment="1">
      <alignment horizontal="right" wrapText="1"/>
    </xf>
    <xf numFmtId="0" fontId="39" fillId="0" borderId="0" xfId="11" applyFont="1">
      <alignment vertical="center"/>
    </xf>
    <xf numFmtId="0" fontId="38" fillId="0" borderId="0" xfId="11" applyFont="1">
      <alignment vertical="center"/>
    </xf>
    <xf numFmtId="0" fontId="7" fillId="0" borderId="20" xfId="11" applyBorder="1">
      <alignment vertical="center"/>
    </xf>
    <xf numFmtId="176" fontId="7" fillId="0" borderId="5" xfId="11" applyNumberFormat="1" applyBorder="1" applyAlignment="1">
      <alignment horizontal="center" vertical="center"/>
    </xf>
    <xf numFmtId="0" fontId="7" fillId="0" borderId="21" xfId="11" applyBorder="1">
      <alignment vertical="center"/>
    </xf>
    <xf numFmtId="176" fontId="7" fillId="0" borderId="6" xfId="11" applyNumberFormat="1" applyBorder="1" applyAlignment="1">
      <alignment horizontal="center" vertical="center"/>
    </xf>
    <xf numFmtId="10" fontId="7" fillId="4" borderId="2" xfId="11" applyNumberFormat="1" applyFill="1" applyBorder="1" applyAlignment="1">
      <alignment horizontal="center" vertical="center"/>
    </xf>
    <xf numFmtId="0" fontId="27" fillId="0" borderId="0" xfId="12" applyFont="1" applyAlignment="1" applyProtection="1">
      <alignment horizontal="right" vertical="center"/>
      <protection hidden="1"/>
    </xf>
    <xf numFmtId="0" fontId="7" fillId="6" borderId="18" xfId="11" applyFill="1" applyBorder="1" applyAlignment="1">
      <alignment horizontal="center" vertical="center"/>
    </xf>
    <xf numFmtId="178" fontId="7" fillId="0" borderId="2" xfId="11" applyNumberFormat="1" applyBorder="1">
      <alignment vertical="center"/>
    </xf>
    <xf numFmtId="192" fontId="0" fillId="0" borderId="0" xfId="1" applyNumberFormat="1" applyFont="1"/>
    <xf numFmtId="0" fontId="7" fillId="0" borderId="0" xfId="12" applyFont="1" applyAlignment="1" applyProtection="1">
      <alignment vertical="center"/>
      <protection locked="0"/>
    </xf>
    <xf numFmtId="0" fontId="27" fillId="0" borderId="3" xfId="12" applyFont="1" applyBorder="1" applyAlignment="1" applyProtection="1">
      <alignment horizontal="right" vertical="center"/>
      <protection hidden="1"/>
    </xf>
    <xf numFmtId="0" fontId="54" fillId="0" borderId="0" xfId="1" applyFont="1" applyAlignment="1" applyProtection="1">
      <alignment vertical="center"/>
      <protection hidden="1"/>
    </xf>
    <xf numFmtId="0" fontId="53" fillId="0" borderId="0" xfId="1" applyFont="1" applyAlignment="1" applyProtection="1">
      <alignment vertical="center"/>
      <protection hidden="1"/>
    </xf>
    <xf numFmtId="0" fontId="55" fillId="0" borderId="0" xfId="1" applyFont="1" applyAlignment="1" applyProtection="1">
      <alignment horizontal="left" vertical="center"/>
      <protection hidden="1"/>
    </xf>
    <xf numFmtId="0" fontId="50" fillId="0" borderId="0" xfId="12" applyFont="1" applyAlignment="1" applyProtection="1">
      <alignment horizontal="left" vertical="center"/>
      <protection hidden="1"/>
    </xf>
    <xf numFmtId="177" fontId="15" fillId="0" borderId="0" xfId="12" applyNumberFormat="1" applyFont="1" applyAlignment="1" applyProtection="1">
      <alignment horizontal="right" vertical="center" shrinkToFit="1"/>
      <protection hidden="1"/>
    </xf>
    <xf numFmtId="0" fontId="49" fillId="0" borderId="1" xfId="9" applyFont="1" applyBorder="1" applyAlignment="1">
      <alignment horizontal="right" wrapText="1"/>
    </xf>
    <xf numFmtId="0" fontId="7" fillId="0" borderId="7" xfId="11" applyBorder="1" applyAlignment="1">
      <alignment horizontal="center" vertical="center"/>
    </xf>
    <xf numFmtId="0" fontId="7" fillId="0" borderId="2" xfId="1" applyFont="1" applyBorder="1"/>
    <xf numFmtId="0" fontId="0" fillId="0" borderId="0" xfId="1" applyFont="1"/>
    <xf numFmtId="0" fontId="49" fillId="0" borderId="0" xfId="9" applyFont="1" applyAlignment="1">
      <alignment horizontal="center"/>
    </xf>
    <xf numFmtId="0" fontId="49" fillId="0" borderId="0" xfId="9" applyFont="1" applyAlignment="1">
      <alignment horizontal="right" wrapText="1"/>
    </xf>
    <xf numFmtId="0" fontId="38" fillId="0" borderId="0" xfId="1" applyFont="1" applyAlignment="1" applyProtection="1">
      <alignment vertical="center"/>
      <protection hidden="1"/>
    </xf>
    <xf numFmtId="0" fontId="11" fillId="0" borderId="0" xfId="1" applyFont="1" applyAlignment="1" applyProtection="1">
      <alignment vertical="center"/>
      <protection hidden="1"/>
    </xf>
    <xf numFmtId="0" fontId="0" fillId="0" borderId="0" xfId="1" applyFont="1" applyAlignment="1" applyProtection="1">
      <alignment vertical="center"/>
      <protection hidden="1"/>
    </xf>
    <xf numFmtId="0" fontId="58" fillId="0" borderId="0" xfId="1" applyFont="1" applyAlignment="1" applyProtection="1">
      <alignment vertical="center"/>
      <protection hidden="1"/>
    </xf>
    <xf numFmtId="0" fontId="59" fillId="0" borderId="0" xfId="1" applyFont="1" applyAlignment="1" applyProtection="1">
      <alignment vertical="center"/>
      <protection hidden="1"/>
    </xf>
    <xf numFmtId="0" fontId="55" fillId="0" borderId="0" xfId="1" applyFont="1" applyAlignment="1" applyProtection="1">
      <alignment vertical="center"/>
      <protection hidden="1"/>
    </xf>
    <xf numFmtId="0" fontId="15" fillId="0" borderId="0" xfId="12" applyFont="1" applyAlignment="1" applyProtection="1">
      <alignment vertical="center"/>
      <protection hidden="1"/>
    </xf>
    <xf numFmtId="0" fontId="7" fillId="0" borderId="13" xfId="11" applyBorder="1">
      <alignment vertical="center"/>
    </xf>
    <xf numFmtId="0" fontId="7" fillId="0" borderId="2" xfId="1" applyFont="1" applyBorder="1" applyAlignment="1">
      <alignment vertical="center"/>
    </xf>
    <xf numFmtId="10" fontId="7" fillId="0" borderId="2" xfId="11" applyNumberFormat="1" applyBorder="1">
      <alignment vertical="center"/>
    </xf>
    <xf numFmtId="0" fontId="50" fillId="10" borderId="2" xfId="11" applyFont="1" applyFill="1" applyBorder="1">
      <alignment vertical="center"/>
    </xf>
    <xf numFmtId="177" fontId="18" fillId="0" borderId="0" xfId="12" applyNumberFormat="1" applyFont="1" applyAlignment="1" applyProtection="1">
      <alignment horizontal="right" vertical="center"/>
      <protection hidden="1"/>
    </xf>
    <xf numFmtId="0" fontId="35" fillId="0" borderId="19" xfId="12" applyFont="1" applyBorder="1" applyAlignment="1" applyProtection="1">
      <alignment horizontal="center" vertical="center" wrapText="1"/>
      <protection hidden="1"/>
    </xf>
    <xf numFmtId="187" fontId="16" fillId="0" borderId="19" xfId="12" applyNumberFormat="1" applyFont="1" applyBorder="1" applyAlignment="1" applyProtection="1">
      <alignment horizontal="center" vertical="center"/>
      <protection hidden="1"/>
    </xf>
    <xf numFmtId="0" fontId="7" fillId="4" borderId="2" xfId="11" applyFill="1" applyBorder="1" applyAlignment="1">
      <alignment horizontal="left" vertical="center"/>
    </xf>
    <xf numFmtId="0" fontId="64" fillId="0" borderId="0" xfId="1" applyFont="1" applyProtection="1">
      <protection hidden="1"/>
    </xf>
    <xf numFmtId="0" fontId="66" fillId="0" borderId="0" xfId="1" applyFont="1" applyAlignment="1" applyProtection="1">
      <alignment vertical="center"/>
      <protection hidden="1"/>
    </xf>
    <xf numFmtId="0" fontId="64" fillId="0" borderId="0" xfId="1" applyFont="1" applyAlignment="1">
      <alignment vertical="center"/>
    </xf>
    <xf numFmtId="10" fontId="65" fillId="0" borderId="0" xfId="1" applyNumberFormat="1" applyFont="1" applyAlignment="1">
      <alignment vertical="center"/>
    </xf>
    <xf numFmtId="0" fontId="64" fillId="0" borderId="0" xfId="1" applyFont="1" applyAlignment="1" applyProtection="1">
      <alignment vertical="center"/>
      <protection hidden="1"/>
    </xf>
    <xf numFmtId="0" fontId="32" fillId="0" borderId="0" xfId="1" applyFont="1" applyAlignment="1">
      <alignment vertical="center"/>
    </xf>
    <xf numFmtId="0" fontId="32" fillId="0" borderId="0" xfId="1" applyFont="1" applyAlignment="1" applyProtection="1">
      <alignment vertical="center"/>
      <protection hidden="1"/>
    </xf>
    <xf numFmtId="0" fontId="7" fillId="11" borderId="2" xfId="11" applyFill="1" applyBorder="1">
      <alignment vertical="center"/>
    </xf>
    <xf numFmtId="0" fontId="7" fillId="12" borderId="2" xfId="11" applyFill="1" applyBorder="1">
      <alignment vertical="center"/>
    </xf>
    <xf numFmtId="0" fontId="7" fillId="13" borderId="0" xfId="11" applyFill="1">
      <alignment vertical="center"/>
    </xf>
    <xf numFmtId="0" fontId="74" fillId="14" borderId="0" xfId="1" applyFont="1" applyFill="1" applyProtection="1">
      <protection hidden="1"/>
    </xf>
    <xf numFmtId="0" fontId="67" fillId="0" borderId="0" xfId="0" applyFont="1" applyAlignment="1">
      <alignment vertical="center"/>
    </xf>
    <xf numFmtId="0" fontId="31" fillId="0" borderId="0" xfId="1" applyFont="1" applyAlignment="1" applyProtection="1">
      <alignment vertical="center" shrinkToFit="1"/>
      <protection hidden="1"/>
    </xf>
    <xf numFmtId="0" fontId="43" fillId="0" borderId="0" xfId="1" applyFont="1" applyAlignment="1" applyProtection="1">
      <alignment horizontal="right" vertical="center"/>
      <protection hidden="1"/>
    </xf>
    <xf numFmtId="0" fontId="7" fillId="11" borderId="2" xfId="11" applyFill="1" applyBorder="1" applyAlignment="1">
      <alignment horizontal="center" vertical="center"/>
    </xf>
    <xf numFmtId="0" fontId="75" fillId="0" borderId="0" xfId="1" applyFont="1" applyAlignment="1" applyProtection="1">
      <alignment vertical="center"/>
      <protection hidden="1"/>
    </xf>
    <xf numFmtId="0" fontId="14" fillId="0" borderId="0" xfId="12" applyFont="1" applyProtection="1">
      <protection hidden="1"/>
    </xf>
    <xf numFmtId="0" fontId="14" fillId="0" borderId="23" xfId="12" applyFont="1" applyBorder="1" applyProtection="1">
      <protection hidden="1"/>
    </xf>
    <xf numFmtId="0" fontId="14" fillId="0" borderId="24" xfId="12" applyFont="1" applyBorder="1" applyProtection="1">
      <protection hidden="1"/>
    </xf>
    <xf numFmtId="0" fontId="24" fillId="2" borderId="24" xfId="12" applyFont="1" applyFill="1" applyBorder="1" applyAlignment="1" applyProtection="1">
      <alignment horizontal="center" vertical="center"/>
      <protection hidden="1"/>
    </xf>
    <xf numFmtId="0" fontId="5" fillId="0" borderId="24" xfId="12" applyFont="1" applyBorder="1" applyAlignment="1" applyProtection="1">
      <alignment horizontal="center" vertical="center"/>
      <protection hidden="1"/>
    </xf>
    <xf numFmtId="0" fontId="30" fillId="0" borderId="23" xfId="12" applyFont="1" applyBorder="1" applyAlignment="1" applyProtection="1">
      <alignment horizontal="center" vertical="center"/>
      <protection hidden="1"/>
    </xf>
    <xf numFmtId="0" fontId="7" fillId="0" borderId="23" xfId="12" applyFont="1" applyBorder="1" applyAlignment="1" applyProtection="1">
      <alignment vertical="center"/>
      <protection hidden="1"/>
    </xf>
    <xf numFmtId="0" fontId="19" fillId="0" borderId="24" xfId="12" applyFont="1" applyBorder="1" applyAlignment="1" applyProtection="1">
      <alignment horizontal="right" vertical="center"/>
      <protection hidden="1"/>
    </xf>
    <xf numFmtId="0" fontId="15" fillId="0" borderId="23" xfId="12" applyFont="1" applyBorder="1" applyAlignment="1" applyProtection="1">
      <alignment horizontal="center" vertical="center"/>
      <protection hidden="1"/>
    </xf>
    <xf numFmtId="0" fontId="30" fillId="0" borderId="23" xfId="12" applyFont="1" applyBorder="1" applyAlignment="1" applyProtection="1">
      <alignment vertical="center"/>
      <protection hidden="1"/>
    </xf>
    <xf numFmtId="0" fontId="21" fillId="0" borderId="24" xfId="12" applyFont="1" applyBorder="1" applyAlignment="1" applyProtection="1">
      <alignment horizontal="center" vertical="center" wrapText="1"/>
      <protection hidden="1"/>
    </xf>
    <xf numFmtId="0" fontId="27" fillId="0" borderId="23" xfId="12" applyFont="1" applyBorder="1" applyAlignment="1" applyProtection="1">
      <alignment horizontal="center" vertical="center"/>
      <protection hidden="1"/>
    </xf>
    <xf numFmtId="0" fontId="27" fillId="0" borderId="23" xfId="12" applyFont="1" applyBorder="1" applyAlignment="1" applyProtection="1">
      <alignment vertical="center"/>
      <protection hidden="1"/>
    </xf>
    <xf numFmtId="0" fontId="15" fillId="0" borderId="25" xfId="12" applyFont="1" applyBorder="1" applyAlignment="1" applyProtection="1">
      <alignment horizontal="center" vertical="center"/>
      <protection hidden="1"/>
    </xf>
    <xf numFmtId="0" fontId="15" fillId="0" borderId="23" xfId="12" applyFont="1" applyBorder="1" applyAlignment="1" applyProtection="1">
      <alignment horizontal="right" vertical="center"/>
      <protection hidden="1"/>
    </xf>
    <xf numFmtId="0" fontId="5" fillId="0" borderId="26" xfId="12" applyFont="1" applyBorder="1" applyAlignment="1" applyProtection="1">
      <alignment horizontal="center" vertical="center"/>
      <protection hidden="1"/>
    </xf>
    <xf numFmtId="0" fontId="24" fillId="0" borderId="24" xfId="12" applyFont="1" applyBorder="1" applyAlignment="1" applyProtection="1">
      <alignment horizontal="center" vertical="center"/>
      <protection hidden="1"/>
    </xf>
    <xf numFmtId="0" fontId="36" fillId="0" borderId="11" xfId="12" applyFont="1" applyBorder="1" applyAlignment="1" applyProtection="1">
      <alignment horizontal="left" vertical="center"/>
      <protection hidden="1"/>
    </xf>
    <xf numFmtId="0" fontId="18" fillId="0" borderId="11" xfId="12" applyFont="1" applyBorder="1" applyAlignment="1" applyProtection="1">
      <alignment horizontal="center" vertical="center" shrinkToFit="1"/>
      <protection hidden="1"/>
    </xf>
    <xf numFmtId="0" fontId="35" fillId="0" borderId="11" xfId="12" applyFont="1" applyBorder="1" applyAlignment="1" applyProtection="1">
      <alignment vertical="center"/>
      <protection hidden="1"/>
    </xf>
    <xf numFmtId="0" fontId="36" fillId="0" borderId="11" xfId="12" applyFont="1" applyBorder="1" applyAlignment="1" applyProtection="1">
      <alignment horizontal="center" vertical="center"/>
      <protection hidden="1"/>
    </xf>
    <xf numFmtId="0" fontId="24" fillId="0" borderId="6" xfId="12" applyFont="1" applyBorder="1" applyAlignment="1" applyProtection="1">
      <alignment horizontal="center" vertical="center"/>
      <protection hidden="1"/>
    </xf>
    <xf numFmtId="0" fontId="15" fillId="0" borderId="9" xfId="12" applyFont="1" applyBorder="1" applyAlignment="1" applyProtection="1">
      <alignment horizontal="center" vertical="center"/>
      <protection hidden="1"/>
    </xf>
    <xf numFmtId="0" fontId="36" fillId="0" borderId="10" xfId="12" applyFont="1" applyBorder="1" applyAlignment="1" applyProtection="1">
      <alignment vertical="center"/>
      <protection hidden="1"/>
    </xf>
    <xf numFmtId="0" fontId="36" fillId="0" borderId="11" xfId="12" applyFont="1" applyBorder="1" applyAlignment="1" applyProtection="1">
      <alignment vertical="center"/>
      <protection hidden="1"/>
    </xf>
    <xf numFmtId="0" fontId="7" fillId="0" borderId="11" xfId="12" applyFont="1" applyBorder="1" applyAlignment="1" applyProtection="1">
      <alignment vertical="center"/>
      <protection hidden="1"/>
    </xf>
    <xf numFmtId="0" fontId="50" fillId="0" borderId="11" xfId="12" applyFont="1" applyBorder="1" applyAlignment="1" applyProtection="1">
      <alignment horizontal="right" vertical="center"/>
      <protection hidden="1"/>
    </xf>
    <xf numFmtId="0" fontId="7" fillId="0" borderId="6" xfId="12" applyFont="1" applyBorder="1" applyAlignment="1" applyProtection="1">
      <alignment vertical="center"/>
      <protection hidden="1"/>
    </xf>
    <xf numFmtId="0" fontId="28" fillId="0" borderId="0" xfId="12" applyFont="1" applyAlignment="1" applyProtection="1">
      <alignment horizontal="center" vertical="center"/>
      <protection hidden="1"/>
    </xf>
    <xf numFmtId="188" fontId="16" fillId="0" borderId="0" xfId="12" applyNumberFormat="1" applyFont="1" applyAlignment="1" applyProtection="1">
      <alignment horizontal="center" vertical="center" shrinkToFit="1"/>
      <protection hidden="1"/>
    </xf>
    <xf numFmtId="0" fontId="15" fillId="0" borderId="0" xfId="12" applyFont="1" applyAlignment="1" applyProtection="1">
      <alignment horizontal="center" vertical="center" shrinkToFit="1"/>
      <protection hidden="1"/>
    </xf>
    <xf numFmtId="186" fontId="15" fillId="0" borderId="0" xfId="12" applyNumberFormat="1" applyFont="1" applyAlignment="1" applyProtection="1">
      <alignment vertical="center"/>
      <protection hidden="1"/>
    </xf>
    <xf numFmtId="186" fontId="17" fillId="0" borderId="0" xfId="12" applyNumberFormat="1" applyFont="1" applyAlignment="1" applyProtection="1">
      <alignment vertical="center" shrinkToFit="1"/>
      <protection hidden="1"/>
    </xf>
    <xf numFmtId="181" fontId="23" fillId="0" borderId="0" xfId="12" applyNumberFormat="1" applyFont="1" applyAlignment="1" applyProtection="1">
      <alignment horizontal="center" vertical="center"/>
      <protection hidden="1"/>
    </xf>
    <xf numFmtId="189" fontId="23" fillId="0" borderId="0" xfId="12" applyNumberFormat="1" applyFont="1" applyAlignment="1" applyProtection="1">
      <alignment horizontal="center" vertical="center"/>
      <protection hidden="1"/>
    </xf>
    <xf numFmtId="181" fontId="26" fillId="0" borderId="0" xfId="12" applyNumberFormat="1" applyFont="1" applyAlignment="1" applyProtection="1">
      <alignment horizontal="center" vertical="center"/>
      <protection hidden="1"/>
    </xf>
    <xf numFmtId="181" fontId="18" fillId="0" borderId="0" xfId="12" applyNumberFormat="1" applyFont="1" applyAlignment="1" applyProtection="1">
      <alignment horizontal="right" vertical="center"/>
      <protection hidden="1"/>
    </xf>
    <xf numFmtId="0" fontId="15" fillId="0" borderId="16" xfId="12" applyFont="1" applyBorder="1" applyAlignment="1" applyProtection="1">
      <alignment horizontal="center" vertical="center"/>
      <protection hidden="1"/>
    </xf>
    <xf numFmtId="181" fontId="25" fillId="0" borderId="16" xfId="12" applyNumberFormat="1" applyFont="1" applyBorder="1" applyAlignment="1" applyProtection="1">
      <alignment horizontal="center" vertical="center" shrinkToFit="1"/>
      <protection hidden="1"/>
    </xf>
    <xf numFmtId="0" fontId="24" fillId="0" borderId="5" xfId="12" applyFont="1" applyBorder="1" applyAlignment="1" applyProtection="1">
      <alignment horizontal="center" vertical="center"/>
      <protection hidden="1"/>
    </xf>
    <xf numFmtId="178" fontId="0" fillId="0" borderId="0" xfId="1" applyNumberFormat="1" applyFont="1"/>
    <xf numFmtId="0" fontId="3" fillId="0" borderId="1" xfId="9" applyFont="1" applyBorder="1" applyAlignment="1">
      <alignment horizontal="right" wrapText="1"/>
    </xf>
    <xf numFmtId="0" fontId="32" fillId="0" borderId="2" xfId="1" applyFont="1" applyBorder="1" applyAlignment="1" applyProtection="1">
      <alignment horizontal="center" vertical="center" shrinkToFit="1"/>
      <protection hidden="1"/>
    </xf>
    <xf numFmtId="190" fontId="7" fillId="4" borderId="2" xfId="11" applyNumberFormat="1" applyFill="1" applyBorder="1" applyAlignment="1">
      <alignment horizontal="center" vertical="center"/>
    </xf>
    <xf numFmtId="0" fontId="76" fillId="0" borderId="0" xfId="1" applyFont="1" applyAlignment="1" applyProtection="1">
      <alignment vertical="center"/>
      <protection hidden="1"/>
    </xf>
    <xf numFmtId="0" fontId="61" fillId="0" borderId="0" xfId="1" applyFont="1" applyAlignment="1" applyProtection="1">
      <alignment vertical="center"/>
      <protection hidden="1"/>
    </xf>
    <xf numFmtId="0" fontId="32" fillId="0" borderId="0" xfId="1" applyFont="1" applyAlignment="1" applyProtection="1">
      <alignment horizontal="right" vertical="center"/>
      <protection hidden="1"/>
    </xf>
    <xf numFmtId="0" fontId="41" fillId="0" borderId="0" xfId="1" applyFont="1" applyAlignment="1" applyProtection="1">
      <alignment vertical="center"/>
      <protection hidden="1"/>
    </xf>
    <xf numFmtId="0" fontId="62" fillId="0" borderId="0" xfId="1" applyFont="1" applyAlignment="1" applyProtection="1">
      <alignment vertical="center"/>
      <protection hidden="1"/>
    </xf>
    <xf numFmtId="0" fontId="63" fillId="0" borderId="0" xfId="1" applyFont="1" applyAlignment="1" applyProtection="1">
      <alignment vertical="center"/>
      <protection hidden="1"/>
    </xf>
    <xf numFmtId="0" fontId="36" fillId="0" borderId="0" xfId="12" applyFont="1" applyAlignment="1" applyProtection="1">
      <alignment horizontal="left" vertical="center"/>
      <protection hidden="1"/>
    </xf>
    <xf numFmtId="57" fontId="3" fillId="0" borderId="0" xfId="1" applyNumberFormat="1" applyFont="1" applyAlignment="1" applyProtection="1">
      <alignment horizontal="center" vertical="center"/>
      <protection hidden="1"/>
    </xf>
    <xf numFmtId="57" fontId="3" fillId="0" borderId="0" xfId="1" applyNumberFormat="1" applyFont="1" applyAlignment="1" applyProtection="1">
      <alignment vertical="center"/>
      <protection hidden="1"/>
    </xf>
    <xf numFmtId="0" fontId="1" fillId="0" borderId="0" xfId="1" applyFont="1" applyAlignment="1" applyProtection="1">
      <alignment horizontal="left"/>
      <protection hidden="1"/>
    </xf>
    <xf numFmtId="0" fontId="77" fillId="0" borderId="0" xfId="1" applyFont="1" applyAlignment="1" applyProtection="1">
      <alignment vertical="center"/>
      <protection hidden="1"/>
    </xf>
    <xf numFmtId="0" fontId="0" fillId="0" borderId="0" xfId="0" applyAlignment="1">
      <alignment vertical="center"/>
    </xf>
    <xf numFmtId="0" fontId="0" fillId="0" borderId="2" xfId="2" applyFont="1" applyBorder="1" applyAlignment="1" applyProtection="1">
      <alignment shrinkToFit="1"/>
      <protection hidden="1"/>
    </xf>
    <xf numFmtId="0" fontId="0" fillId="15" borderId="2" xfId="0" applyFill="1" applyBorder="1" applyAlignment="1">
      <alignment vertical="center"/>
    </xf>
    <xf numFmtId="0" fontId="71" fillId="12" borderId="2" xfId="2" applyFont="1" applyFill="1" applyBorder="1" applyAlignment="1" applyProtection="1">
      <alignment shrinkToFit="1"/>
      <protection hidden="1"/>
    </xf>
    <xf numFmtId="0" fontId="0" fillId="0" borderId="2" xfId="0" applyBorder="1" applyAlignment="1">
      <alignment vertical="center"/>
    </xf>
    <xf numFmtId="0" fontId="0" fillId="16" borderId="2" xfId="0" applyFill="1" applyBorder="1" applyAlignment="1">
      <alignment vertical="center"/>
    </xf>
    <xf numFmtId="0" fontId="0" fillId="17" borderId="2" xfId="0" applyFill="1" applyBorder="1" applyAlignment="1">
      <alignment horizontal="center" vertical="center"/>
    </xf>
    <xf numFmtId="0" fontId="0" fillId="17" borderId="2" xfId="0" applyFill="1" applyBorder="1" applyAlignment="1">
      <alignment vertical="center"/>
    </xf>
    <xf numFmtId="0" fontId="0" fillId="18" borderId="2" xfId="0" applyFill="1" applyBorder="1" applyAlignment="1">
      <alignment vertical="center"/>
    </xf>
    <xf numFmtId="0" fontId="0" fillId="0" borderId="2" xfId="0" applyBorder="1" applyAlignment="1">
      <alignment horizontal="center" vertical="center"/>
    </xf>
    <xf numFmtId="0" fontId="71" fillId="0" borderId="2" xfId="2" applyFont="1" applyBorder="1" applyAlignment="1" applyProtection="1">
      <alignment horizontal="center" shrinkToFit="1"/>
      <protection hidden="1"/>
    </xf>
    <xf numFmtId="0" fontId="1" fillId="0" borderId="11" xfId="1" applyFont="1" applyBorder="1" applyAlignment="1" applyProtection="1">
      <alignment horizontal="right"/>
      <protection hidden="1"/>
    </xf>
    <xf numFmtId="0" fontId="0" fillId="0" borderId="9" xfId="1" applyFont="1" applyBorder="1" applyProtection="1">
      <protection hidden="1"/>
    </xf>
    <xf numFmtId="0" fontId="0" fillId="0" borderId="16" xfId="1" applyFont="1" applyBorder="1" applyProtection="1">
      <protection hidden="1"/>
    </xf>
    <xf numFmtId="0" fontId="0" fillId="0" borderId="5" xfId="1" applyFont="1" applyBorder="1" applyProtection="1">
      <protection hidden="1"/>
    </xf>
    <xf numFmtId="0" fontId="1" fillId="0" borderId="23" xfId="1" applyFont="1" applyBorder="1" applyProtection="1">
      <protection hidden="1"/>
    </xf>
    <xf numFmtId="0" fontId="1" fillId="0" borderId="24" xfId="1" applyFont="1" applyBorder="1" applyProtection="1">
      <protection hidden="1"/>
    </xf>
    <xf numFmtId="0" fontId="1" fillId="0" borderId="10" xfId="1" applyFont="1" applyBorder="1" applyProtection="1">
      <protection hidden="1"/>
    </xf>
    <xf numFmtId="0" fontId="1" fillId="0" borderId="11" xfId="1" applyFont="1" applyBorder="1" applyProtection="1">
      <protection hidden="1"/>
    </xf>
    <xf numFmtId="0" fontId="1" fillId="0" borderId="6" xfId="1" applyFont="1" applyBorder="1" applyProtection="1">
      <protection hidden="1"/>
    </xf>
    <xf numFmtId="0" fontId="12" fillId="0" borderId="0" xfId="12" applyFont="1" applyAlignment="1" applyProtection="1">
      <alignment vertical="center"/>
      <protection hidden="1"/>
    </xf>
    <xf numFmtId="0" fontId="20" fillId="0" borderId="0" xfId="12" applyFont="1" applyAlignment="1" applyProtection="1">
      <alignment horizontal="center" vertical="center"/>
      <protection hidden="1"/>
    </xf>
    <xf numFmtId="0" fontId="40" fillId="0" borderId="0" xfId="1" applyFont="1" applyProtection="1">
      <protection hidden="1"/>
    </xf>
    <xf numFmtId="0" fontId="38" fillId="0" borderId="0" xfId="1" applyFont="1" applyProtection="1">
      <protection hidden="1"/>
    </xf>
    <xf numFmtId="0" fontId="57" fillId="0" borderId="0" xfId="1" applyFont="1" applyProtection="1">
      <protection hidden="1"/>
    </xf>
    <xf numFmtId="0" fontId="41" fillId="0" borderId="0" xfId="1" applyFont="1" applyProtection="1">
      <protection hidden="1"/>
    </xf>
    <xf numFmtId="0" fontId="38" fillId="0" borderId="0" xfId="1" applyFont="1" applyAlignment="1">
      <alignment horizontal="center" vertical="center"/>
    </xf>
    <xf numFmtId="10" fontId="38" fillId="0" borderId="0" xfId="1" applyNumberFormat="1" applyFont="1" applyAlignment="1">
      <alignment horizontal="center" vertical="center"/>
    </xf>
    <xf numFmtId="0" fontId="44" fillId="0" borderId="0" xfId="1" applyFont="1"/>
    <xf numFmtId="10" fontId="46" fillId="0" borderId="0" xfId="1" applyNumberFormat="1" applyFont="1"/>
    <xf numFmtId="0" fontId="64" fillId="0" borderId="0" xfId="1" applyFont="1"/>
    <xf numFmtId="10" fontId="65" fillId="0" borderId="0" xfId="1" applyNumberFormat="1" applyFont="1"/>
    <xf numFmtId="0" fontId="7" fillId="19" borderId="2" xfId="11" applyFill="1" applyBorder="1" applyAlignment="1">
      <alignment horizontal="center" vertical="center"/>
    </xf>
    <xf numFmtId="193" fontId="7" fillId="19" borderId="2" xfId="11" applyNumberFormat="1" applyFill="1" applyBorder="1" applyAlignment="1">
      <alignment horizontal="center" vertical="center"/>
    </xf>
    <xf numFmtId="0" fontId="7" fillId="19" borderId="2" xfId="11" applyFill="1" applyBorder="1">
      <alignment vertical="center"/>
    </xf>
    <xf numFmtId="0" fontId="79" fillId="0" borderId="18" xfId="12" applyFont="1" applyBorder="1" applyAlignment="1" applyProtection="1">
      <alignment horizontal="left" vertical="center"/>
      <protection hidden="1"/>
    </xf>
    <xf numFmtId="0" fontId="47" fillId="0" borderId="8" xfId="12" applyFont="1" applyBorder="1" applyAlignment="1" applyProtection="1">
      <alignment horizontal="center" vertical="center" shrinkToFit="1"/>
      <protection hidden="1"/>
    </xf>
    <xf numFmtId="0" fontId="47" fillId="0" borderId="13" xfId="12" applyFont="1" applyBorder="1" applyAlignment="1" applyProtection="1">
      <alignment horizontal="center" vertical="center" shrinkToFit="1"/>
      <protection hidden="1"/>
    </xf>
    <xf numFmtId="0" fontId="53" fillId="0" borderId="0" xfId="2" applyFont="1" applyAlignment="1" applyProtection="1">
      <alignment vertical="center"/>
      <protection hidden="1"/>
    </xf>
    <xf numFmtId="0" fontId="66" fillId="0" borderId="0" xfId="2" applyFont="1" applyAlignment="1" applyProtection="1">
      <alignment vertical="center"/>
      <protection hidden="1"/>
    </xf>
    <xf numFmtId="0" fontId="53" fillId="0" borderId="0" xfId="1" applyFont="1" applyAlignment="1" applyProtection="1">
      <alignment horizontal="center" vertical="center"/>
      <protection hidden="1"/>
    </xf>
    <xf numFmtId="0" fontId="11" fillId="0" borderId="0" xfId="1" applyFont="1" applyAlignment="1" applyProtection="1">
      <alignment horizontal="right"/>
      <protection hidden="1"/>
    </xf>
    <xf numFmtId="0" fontId="11" fillId="0" borderId="0" xfId="1" applyFont="1" applyAlignment="1" applyProtection="1">
      <alignment horizontal="left"/>
      <protection hidden="1"/>
    </xf>
    <xf numFmtId="182" fontId="11" fillId="0" borderId="0" xfId="1" applyNumberFormat="1" applyFont="1" applyAlignment="1" applyProtection="1">
      <alignment horizontal="left"/>
      <protection hidden="1"/>
    </xf>
    <xf numFmtId="0" fontId="11" fillId="0" borderId="0" xfId="1" applyFont="1" applyProtection="1">
      <protection hidden="1"/>
    </xf>
    <xf numFmtId="0" fontId="3" fillId="0" borderId="0" xfId="1" applyFont="1" applyAlignment="1" applyProtection="1">
      <alignment horizontal="right"/>
      <protection hidden="1"/>
    </xf>
    <xf numFmtId="0" fontId="40" fillId="0" borderId="0" xfId="1" applyFont="1" applyAlignment="1" applyProtection="1">
      <alignment horizontal="right"/>
      <protection hidden="1"/>
    </xf>
    <xf numFmtId="57" fontId="3" fillId="0" borderId="0" xfId="1" applyNumberFormat="1" applyFont="1" applyAlignment="1" applyProtection="1">
      <alignment horizontal="center"/>
      <protection hidden="1"/>
    </xf>
    <xf numFmtId="57" fontId="11" fillId="0" borderId="0" xfId="1" applyNumberFormat="1" applyFont="1" applyAlignment="1" applyProtection="1">
      <alignment horizontal="right"/>
      <protection hidden="1"/>
    </xf>
    <xf numFmtId="0" fontId="83" fillId="12" borderId="2" xfId="11" applyFont="1" applyFill="1" applyBorder="1" applyAlignment="1">
      <alignment horizontal="center" vertical="center"/>
    </xf>
    <xf numFmtId="0" fontId="7" fillId="12" borderId="2" xfId="11" applyFill="1" applyBorder="1" applyAlignment="1">
      <alignment horizontal="center" vertical="center"/>
    </xf>
    <xf numFmtId="0" fontId="83" fillId="21" borderId="2" xfId="11" applyFont="1" applyFill="1" applyBorder="1" applyAlignment="1">
      <alignment horizontal="center" vertical="center"/>
    </xf>
    <xf numFmtId="14" fontId="7" fillId="21" borderId="2" xfId="11" applyNumberFormat="1" applyFill="1" applyBorder="1" applyAlignment="1">
      <alignment horizontal="center" vertical="center"/>
    </xf>
    <xf numFmtId="178" fontId="7" fillId="21" borderId="2" xfId="11" applyNumberFormat="1" applyFill="1" applyBorder="1" applyAlignment="1">
      <alignment horizontal="center" vertical="center"/>
    </xf>
    <xf numFmtId="0" fontId="7" fillId="20" borderId="2" xfId="11" applyFill="1" applyBorder="1" applyAlignment="1">
      <alignment horizontal="center" vertical="center"/>
    </xf>
    <xf numFmtId="0" fontId="83" fillId="0" borderId="2" xfId="11" applyFont="1" applyBorder="1" applyAlignment="1">
      <alignment horizontal="center" vertical="center"/>
    </xf>
    <xf numFmtId="194" fontId="7" fillId="21" borderId="2" xfId="11" applyNumberFormat="1" applyFill="1" applyBorder="1" applyAlignment="1">
      <alignment horizontal="center" vertical="center"/>
    </xf>
    <xf numFmtId="192" fontId="0" fillId="0" borderId="0" xfId="0" applyNumberFormat="1"/>
    <xf numFmtId="0" fontId="7" fillId="18" borderId="2" xfId="11" applyFill="1" applyBorder="1" applyAlignment="1">
      <alignment horizontal="center" vertical="center"/>
    </xf>
    <xf numFmtId="0" fontId="83" fillId="18" borderId="2" xfId="0" applyFont="1" applyFill="1" applyBorder="1" applyAlignment="1">
      <alignment horizontal="left" vertical="center"/>
    </xf>
    <xf numFmtId="186" fontId="83" fillId="18" borderId="2" xfId="0" applyNumberFormat="1" applyFont="1" applyFill="1" applyBorder="1" applyAlignment="1">
      <alignment vertical="center"/>
    </xf>
    <xf numFmtId="0" fontId="7" fillId="0" borderId="2" xfId="11" applyBorder="1" applyAlignment="1">
      <alignment horizontal="right" vertical="center"/>
    </xf>
    <xf numFmtId="0" fontId="7" fillId="12" borderId="2" xfId="11" applyFill="1" applyBorder="1" applyAlignment="1">
      <alignment horizontal="right" vertical="center"/>
    </xf>
    <xf numFmtId="0" fontId="83" fillId="12" borderId="2" xfId="1" applyFont="1" applyFill="1" applyBorder="1" applyAlignment="1">
      <alignment vertical="center"/>
    </xf>
    <xf numFmtId="186" fontId="83" fillId="12" borderId="2" xfId="0" applyNumberFormat="1" applyFont="1" applyFill="1" applyBorder="1" applyAlignment="1">
      <alignment vertical="center"/>
    </xf>
    <xf numFmtId="177" fontId="7" fillId="0" borderId="2" xfId="11" applyNumberFormat="1" applyBorder="1">
      <alignment vertical="center"/>
    </xf>
    <xf numFmtId="0" fontId="83" fillId="0" borderId="2" xfId="0" applyFont="1" applyBorder="1" applyAlignment="1">
      <alignment vertical="center"/>
    </xf>
    <xf numFmtId="195" fontId="83" fillId="0" borderId="2" xfId="0" applyNumberFormat="1" applyFont="1" applyBorder="1" applyAlignment="1">
      <alignment vertical="center"/>
    </xf>
    <xf numFmtId="0" fontId="0" fillId="0" borderId="2" xfId="0" applyBorder="1"/>
    <xf numFmtId="192" fontId="0" fillId="0" borderId="2" xfId="0" applyNumberFormat="1" applyBorder="1"/>
    <xf numFmtId="0" fontId="7" fillId="12" borderId="2" xfId="11" applyFill="1" applyBorder="1" applyAlignment="1">
      <alignment horizontal="left" vertical="center"/>
    </xf>
    <xf numFmtId="0" fontId="7" fillId="18" borderId="2" xfId="11" applyFill="1" applyBorder="1">
      <alignment vertical="center"/>
    </xf>
    <xf numFmtId="0" fontId="0" fillId="0" borderId="2" xfId="0" applyBorder="1" applyAlignment="1">
      <alignment horizontal="left" vertical="center"/>
    </xf>
    <xf numFmtId="14" fontId="13" fillId="12" borderId="2" xfId="5" applyNumberFormat="1" applyFill="1" applyBorder="1"/>
    <xf numFmtId="177" fontId="7" fillId="12" borderId="2" xfId="11" applyNumberFormat="1" applyFill="1" applyBorder="1" applyAlignment="1">
      <alignment horizontal="center" vertical="center"/>
    </xf>
    <xf numFmtId="186" fontId="0" fillId="0" borderId="2" xfId="0" applyNumberFormat="1" applyBorder="1" applyAlignment="1">
      <alignment vertical="center"/>
    </xf>
    <xf numFmtId="0" fontId="5" fillId="0" borderId="0" xfId="1" applyFont="1" applyAlignment="1">
      <alignment horizontal="right"/>
    </xf>
    <xf numFmtId="14" fontId="83" fillId="3" borderId="2" xfId="11" applyNumberFormat="1" applyFont="1" applyFill="1" applyBorder="1" applyAlignment="1">
      <alignment horizontal="center" vertical="center"/>
    </xf>
    <xf numFmtId="178" fontId="83" fillId="0" borderId="2" xfId="11" applyNumberFormat="1" applyFont="1" applyBorder="1" applyAlignment="1">
      <alignment horizontal="center" vertical="center"/>
    </xf>
    <xf numFmtId="14" fontId="83" fillId="0" borderId="2" xfId="11" applyNumberFormat="1" applyFont="1" applyBorder="1" applyAlignment="1">
      <alignment horizontal="center" vertical="center"/>
    </xf>
    <xf numFmtId="0" fontId="83" fillId="4" borderId="2" xfId="11" applyFont="1" applyFill="1" applyBorder="1" applyAlignment="1">
      <alignment horizontal="center" vertical="center"/>
    </xf>
    <xf numFmtId="0" fontId="0" fillId="19" borderId="2" xfId="0" applyFill="1" applyBorder="1"/>
    <xf numFmtId="0" fontId="83" fillId="6" borderId="2" xfId="11" applyFont="1" applyFill="1" applyBorder="1" applyAlignment="1">
      <alignment horizontal="center" vertical="center"/>
    </xf>
    <xf numFmtId="0" fontId="7" fillId="0" borderId="4" xfId="11" applyBorder="1" applyAlignment="1">
      <alignment horizontal="center" vertical="center"/>
    </xf>
    <xf numFmtId="0" fontId="83" fillId="0" borderId="0" xfId="11" applyFont="1" applyAlignment="1">
      <alignment horizontal="center" vertical="center"/>
    </xf>
    <xf numFmtId="0" fontId="7" fillId="22" borderId="2" xfId="11" applyFill="1" applyBorder="1" applyAlignment="1">
      <alignment horizontal="center" vertical="center"/>
    </xf>
    <xf numFmtId="0" fontId="83" fillId="12" borderId="2" xfId="0" applyFont="1" applyFill="1" applyBorder="1" applyAlignment="1">
      <alignment horizontal="center" vertical="center"/>
    </xf>
    <xf numFmtId="0" fontId="7" fillId="12" borderId="2" xfId="11" applyFill="1" applyBorder="1" applyProtection="1">
      <alignment vertical="center"/>
      <protection locked="0" hidden="1"/>
    </xf>
    <xf numFmtId="0" fontId="83" fillId="0" borderId="0" xfId="11" applyFont="1">
      <alignment vertical="center"/>
    </xf>
    <xf numFmtId="0" fontId="84" fillId="2" borderId="0" xfId="12" applyFont="1" applyFill="1" applyAlignment="1" applyProtection="1">
      <alignment vertical="center"/>
      <protection hidden="1"/>
    </xf>
    <xf numFmtId="0" fontId="5" fillId="0" borderId="28" xfId="12" applyFont="1" applyBorder="1" applyAlignment="1" applyProtection="1">
      <alignment horizontal="center" vertical="center"/>
      <protection hidden="1"/>
    </xf>
    <xf numFmtId="0" fontId="83" fillId="2" borderId="0" xfId="12" applyFont="1" applyFill="1" applyAlignment="1" applyProtection="1">
      <alignment vertical="center"/>
      <protection hidden="1"/>
    </xf>
    <xf numFmtId="0" fontId="85" fillId="0" borderId="23" xfId="12" applyFont="1" applyBorder="1" applyAlignment="1" applyProtection="1">
      <alignment horizontal="right" vertical="center"/>
      <protection hidden="1"/>
    </xf>
    <xf numFmtId="0" fontId="85" fillId="0" borderId="0" xfId="12" applyFont="1" applyAlignment="1" applyProtection="1">
      <alignment horizontal="right" vertical="center"/>
      <protection hidden="1"/>
    </xf>
    <xf numFmtId="0" fontId="15" fillId="0" borderId="10" xfId="12" applyFont="1" applyBorder="1" applyAlignment="1" applyProtection="1">
      <alignment horizontal="center" vertical="center"/>
      <protection hidden="1"/>
    </xf>
    <xf numFmtId="0" fontId="5" fillId="0" borderId="11" xfId="12" applyFont="1" applyBorder="1" applyAlignment="1" applyProtection="1">
      <alignment horizontal="center" vertical="center"/>
      <protection hidden="1"/>
    </xf>
    <xf numFmtId="0" fontId="85" fillId="0" borderId="11" xfId="12" applyFont="1" applyBorder="1" applyAlignment="1" applyProtection="1">
      <alignment horizontal="center" vertical="center"/>
      <protection hidden="1"/>
    </xf>
    <xf numFmtId="0" fontId="18" fillId="0" borderId="11" xfId="12" applyFont="1" applyBorder="1" applyAlignment="1" applyProtection="1">
      <alignment vertical="center"/>
      <protection hidden="1"/>
    </xf>
    <xf numFmtId="0" fontId="87" fillId="0" borderId="11" xfId="12" applyFont="1" applyBorder="1" applyAlignment="1" applyProtection="1">
      <alignment horizontal="left" vertical="center"/>
      <protection hidden="1"/>
    </xf>
    <xf numFmtId="0" fontId="5" fillId="0" borderId="6" xfId="12" applyFont="1" applyBorder="1" applyAlignment="1" applyProtection="1">
      <alignment horizontal="center" vertical="center"/>
      <protection hidden="1"/>
    </xf>
    <xf numFmtId="0" fontId="39" fillId="0" borderId="0" xfId="6" applyFont="1"/>
    <xf numFmtId="10" fontId="39" fillId="0" borderId="0" xfId="6" applyNumberFormat="1" applyFont="1"/>
    <xf numFmtId="176" fontId="39" fillId="0" borderId="0" xfId="6" applyNumberFormat="1" applyFont="1"/>
    <xf numFmtId="0" fontId="4" fillId="0" borderId="0" xfId="6"/>
    <xf numFmtId="0" fontId="7" fillId="0" borderId="0" xfId="5" applyFont="1"/>
    <xf numFmtId="0" fontId="3" fillId="0" borderId="0" xfId="1" applyFont="1" applyAlignment="1">
      <alignment horizontal="center"/>
    </xf>
    <xf numFmtId="0" fontId="3" fillId="0" borderId="0" xfId="8" applyFont="1" applyAlignment="1">
      <alignment horizontal="center"/>
    </xf>
    <xf numFmtId="0" fontId="3" fillId="0" borderId="0" xfId="9" applyFont="1" applyAlignment="1">
      <alignment horizontal="center"/>
    </xf>
    <xf numFmtId="0" fontId="3" fillId="0" borderId="0" xfId="1" applyFont="1" applyAlignment="1">
      <alignment wrapText="1"/>
    </xf>
    <xf numFmtId="0" fontId="3" fillId="0" borderId="0" xfId="8" applyFont="1" applyAlignment="1">
      <alignment wrapText="1"/>
    </xf>
    <xf numFmtId="0" fontId="3" fillId="0" borderId="0" xfId="8" applyFont="1" applyAlignment="1">
      <alignment horizontal="right" wrapText="1"/>
    </xf>
    <xf numFmtId="0" fontId="3" fillId="0" borderId="0" xfId="9" applyFont="1" applyAlignment="1">
      <alignment horizontal="right" wrapText="1"/>
    </xf>
    <xf numFmtId="0" fontId="3" fillId="0" borderId="0" xfId="7" applyFont="1" applyAlignment="1">
      <alignment wrapText="1"/>
    </xf>
    <xf numFmtId="0" fontId="3" fillId="0" borderId="0" xfId="7" applyFont="1" applyAlignment="1">
      <alignment horizontal="right" wrapText="1"/>
    </xf>
    <xf numFmtId="0" fontId="7" fillId="0" borderId="0" xfId="4"/>
    <xf numFmtId="0" fontId="3" fillId="0" borderId="0" xfId="1" applyFont="1" applyAlignment="1">
      <alignment horizontal="right" wrapText="1"/>
    </xf>
    <xf numFmtId="0" fontId="3" fillId="0" borderId="0" xfId="10" applyFont="1" applyAlignment="1">
      <alignment horizontal="right" wrapText="1"/>
    </xf>
    <xf numFmtId="10" fontId="4" fillId="0" borderId="0" xfId="6" applyNumberFormat="1"/>
    <xf numFmtId="10" fontId="3" fillId="0" borderId="0" xfId="10" applyNumberFormat="1" applyFont="1" applyAlignment="1">
      <alignment horizontal="right" wrapText="1"/>
    </xf>
    <xf numFmtId="0" fontId="3" fillId="0" borderId="0" xfId="7" applyFont="1" applyAlignment="1">
      <alignment horizontal="center"/>
    </xf>
    <xf numFmtId="0" fontId="54" fillId="0" borderId="0" xfId="15" applyFont="1" applyAlignment="1" applyProtection="1">
      <alignment vertical="center"/>
      <protection hidden="1"/>
    </xf>
    <xf numFmtId="0" fontId="78" fillId="14" borderId="0" xfId="12" applyFont="1" applyFill="1" applyAlignment="1" applyProtection="1">
      <alignment horizontal="right" vertical="center"/>
      <protection hidden="1"/>
    </xf>
    <xf numFmtId="57" fontId="55" fillId="0" borderId="0" xfId="1" applyNumberFormat="1" applyFont="1" applyAlignment="1" applyProtection="1">
      <alignment horizontal="right" vertical="center"/>
      <protection hidden="1"/>
    </xf>
    <xf numFmtId="0" fontId="75" fillId="0" borderId="0" xfId="12" applyFont="1" applyAlignment="1" applyProtection="1">
      <alignment horizontal="right" vertical="center"/>
      <protection hidden="1"/>
    </xf>
    <xf numFmtId="0" fontId="93" fillId="0" borderId="11" xfId="12" applyFont="1" applyBorder="1" applyAlignment="1" applyProtection="1">
      <alignment horizontal="right" vertical="center"/>
      <protection hidden="1"/>
    </xf>
    <xf numFmtId="0" fontId="55" fillId="0" borderId="16" xfId="1" applyFont="1" applyBorder="1" applyAlignment="1" applyProtection="1">
      <alignment vertical="center"/>
      <protection hidden="1"/>
    </xf>
    <xf numFmtId="0" fontId="55" fillId="0" borderId="16" xfId="1" applyFont="1" applyBorder="1" applyAlignment="1" applyProtection="1">
      <alignment vertical="center" shrinkToFit="1"/>
      <protection hidden="1"/>
    </xf>
    <xf numFmtId="0" fontId="75" fillId="0" borderId="16" xfId="1" applyFont="1" applyBorder="1" applyAlignment="1" applyProtection="1">
      <alignment horizontal="right" vertical="center"/>
      <protection hidden="1"/>
    </xf>
    <xf numFmtId="0" fontId="96" fillId="0" borderId="0" xfId="1" applyFont="1" applyAlignment="1" applyProtection="1">
      <alignment vertical="center"/>
      <protection hidden="1"/>
    </xf>
    <xf numFmtId="0" fontId="39" fillId="0" borderId="0" xfId="1" applyFont="1" applyAlignment="1" applyProtection="1">
      <alignment vertical="center"/>
      <protection hidden="1"/>
    </xf>
    <xf numFmtId="0" fontId="7" fillId="23" borderId="2" xfId="11" applyFill="1" applyBorder="1">
      <alignment vertical="center"/>
    </xf>
    <xf numFmtId="0" fontId="97" fillId="23" borderId="2" xfId="11" applyFont="1" applyFill="1" applyBorder="1">
      <alignment vertical="center"/>
    </xf>
    <xf numFmtId="0" fontId="97" fillId="24" borderId="2" xfId="11" applyFont="1" applyFill="1" applyBorder="1">
      <alignment vertical="center"/>
    </xf>
    <xf numFmtId="0" fontId="97" fillId="6" borderId="2" xfId="11" applyFont="1" applyFill="1" applyBorder="1">
      <alignment vertical="center"/>
    </xf>
    <xf numFmtId="0" fontId="89" fillId="9" borderId="22" xfId="16" applyFont="1" applyFill="1" applyBorder="1" applyAlignment="1">
      <alignment horizontal="center"/>
    </xf>
    <xf numFmtId="0" fontId="89" fillId="0" borderId="1" xfId="16" applyFont="1" applyBorder="1" applyAlignment="1">
      <alignment wrapText="1"/>
    </xf>
    <xf numFmtId="182" fontId="11" fillId="0" borderId="0" xfId="1" applyNumberFormat="1" applyFont="1" applyAlignment="1" applyProtection="1">
      <alignment horizontal="left" vertical="center"/>
      <protection hidden="1"/>
    </xf>
    <xf numFmtId="0" fontId="11" fillId="0" borderId="0" xfId="1" applyFont="1" applyAlignment="1" applyProtection="1">
      <alignment horizontal="right" vertical="center"/>
      <protection hidden="1"/>
    </xf>
    <xf numFmtId="0" fontId="32" fillId="2" borderId="0" xfId="1" applyFont="1" applyFill="1" applyAlignment="1" applyProtection="1">
      <alignment horizontal="left" vertical="center"/>
      <protection hidden="1"/>
    </xf>
    <xf numFmtId="0" fontId="11" fillId="0" borderId="0" xfId="1" applyFont="1" applyAlignment="1" applyProtection="1">
      <alignment horizontal="left" vertical="center"/>
      <protection hidden="1"/>
    </xf>
    <xf numFmtId="0" fontId="80" fillId="0" borderId="0" xfId="1" applyFont="1" applyAlignment="1" applyProtection="1">
      <alignment horizontal="left" vertical="center"/>
      <protection hidden="1"/>
    </xf>
    <xf numFmtId="0" fontId="42" fillId="0" borderId="0" xfId="1" applyFont="1" applyAlignment="1" applyProtection="1">
      <alignment horizontal="left" vertical="center"/>
      <protection hidden="1"/>
    </xf>
    <xf numFmtId="0" fontId="43" fillId="0" borderId="0" xfId="1" applyFont="1" applyAlignment="1" applyProtection="1">
      <alignment horizontal="left" vertical="center"/>
      <protection hidden="1"/>
    </xf>
    <xf numFmtId="0" fontId="60" fillId="0" borderId="0" xfId="1" applyFont="1" applyAlignment="1" applyProtection="1">
      <alignment horizontal="center" vertical="center"/>
      <protection hidden="1"/>
    </xf>
    <xf numFmtId="0" fontId="83" fillId="0" borderId="2" xfId="11" applyFont="1" applyBorder="1">
      <alignment vertical="center"/>
    </xf>
    <xf numFmtId="9" fontId="7" fillId="0" borderId="2" xfId="11" applyNumberFormat="1" applyBorder="1">
      <alignment vertical="center"/>
    </xf>
    <xf numFmtId="0" fontId="96" fillId="0" borderId="0" xfId="1" applyFont="1" applyProtection="1">
      <protection hidden="1"/>
    </xf>
    <xf numFmtId="0" fontId="39" fillId="0" borderId="0" xfId="1" applyFont="1" applyProtection="1">
      <protection hidden="1"/>
    </xf>
    <xf numFmtId="0" fontId="52" fillId="0" borderId="0" xfId="0" applyFont="1" applyAlignment="1" applyProtection="1">
      <alignment horizontal="left" vertical="center"/>
      <protection hidden="1"/>
    </xf>
    <xf numFmtId="0" fontId="99" fillId="0" borderId="0" xfId="1" applyFont="1" applyAlignment="1" applyProtection="1">
      <alignment horizontal="left" vertical="center"/>
      <protection hidden="1"/>
    </xf>
    <xf numFmtId="49" fontId="31" fillId="0" borderId="0" xfId="1" applyNumberFormat="1" applyFont="1" applyAlignment="1" applyProtection="1">
      <alignment horizontal="left" vertical="center"/>
      <protection hidden="1"/>
    </xf>
    <xf numFmtId="0" fontId="31" fillId="0" borderId="0" xfId="1" applyFont="1" applyAlignment="1" applyProtection="1">
      <alignment horizontal="left" vertical="center"/>
      <protection hidden="1"/>
    </xf>
    <xf numFmtId="0" fontId="55" fillId="0" borderId="0" xfId="1" applyFont="1" applyAlignment="1" applyProtection="1">
      <alignment horizontal="center" vertical="center" wrapText="1"/>
      <protection hidden="1"/>
    </xf>
    <xf numFmtId="0" fontId="32" fillId="0" borderId="0" xfId="1" applyFont="1" applyAlignment="1" applyProtection="1">
      <alignment horizontal="right" vertical="center" wrapText="1"/>
      <protection hidden="1"/>
    </xf>
    <xf numFmtId="0" fontId="55" fillId="0" borderId="0" xfId="1" applyFont="1" applyAlignment="1" applyProtection="1">
      <alignment horizontal="left" vertical="center" wrapText="1"/>
      <protection hidden="1"/>
    </xf>
    <xf numFmtId="0" fontId="2" fillId="0" borderId="0" xfId="0" applyFont="1" applyAlignment="1">
      <alignment horizontal="center" vertical="center" wrapText="1"/>
    </xf>
    <xf numFmtId="0" fontId="2" fillId="0" borderId="0" xfId="0" applyFont="1" applyAlignment="1">
      <alignment vertical="center" wrapText="1"/>
    </xf>
    <xf numFmtId="191" fontId="32" fillId="0" borderId="0" xfId="13" applyNumberFormat="1" applyFont="1" applyFill="1" applyBorder="1" applyAlignment="1" applyProtection="1">
      <alignment horizontal="center" vertical="center" shrinkToFit="1"/>
      <protection hidden="1"/>
    </xf>
    <xf numFmtId="0" fontId="0" fillId="0" borderId="0" xfId="0" applyAlignment="1">
      <alignment vertical="center" shrinkToFit="1"/>
    </xf>
    <xf numFmtId="0" fontId="32" fillId="0" borderId="0" xfId="1" applyFont="1" applyAlignment="1" applyProtection="1">
      <alignment horizontal="center" vertical="center" shrinkToFit="1"/>
      <protection hidden="1"/>
    </xf>
    <xf numFmtId="0" fontId="7" fillId="0" borderId="0" xfId="17">
      <alignment vertical="center"/>
    </xf>
    <xf numFmtId="0" fontId="7" fillId="12" borderId="2" xfId="17" applyFill="1" applyBorder="1">
      <alignment vertical="center"/>
    </xf>
    <xf numFmtId="0" fontId="0" fillId="0" borderId="0" xfId="17" applyFont="1">
      <alignment vertical="center"/>
    </xf>
    <xf numFmtId="0" fontId="5" fillId="0" borderId="0" xfId="18" applyFont="1"/>
    <xf numFmtId="0" fontId="7" fillId="0" borderId="0" xfId="19">
      <alignment vertical="center"/>
    </xf>
    <xf numFmtId="0" fontId="101" fillId="0" borderId="0" xfId="19" applyFont="1">
      <alignment vertical="center"/>
    </xf>
    <xf numFmtId="0" fontId="6" fillId="0" borderId="2" xfId="18" applyFont="1" applyBorder="1" applyAlignment="1">
      <alignment horizontal="right"/>
    </xf>
    <xf numFmtId="0" fontId="5" fillId="23" borderId="2" xfId="18" applyFont="1" applyFill="1" applyBorder="1"/>
    <xf numFmtId="0" fontId="0" fillId="0" borderId="2" xfId="17" applyFont="1" applyBorder="1">
      <alignment vertical="center"/>
    </xf>
    <xf numFmtId="0" fontId="0" fillId="0" borderId="2" xfId="17" applyFont="1" applyBorder="1" applyAlignment="1">
      <alignment horizontal="center" vertical="center"/>
    </xf>
    <xf numFmtId="0" fontId="89" fillId="9" borderId="22" xfId="20" applyFont="1" applyFill="1" applyBorder="1" applyAlignment="1">
      <alignment horizontal="center"/>
    </xf>
    <xf numFmtId="0" fontId="0" fillId="0" borderId="2" xfId="17" applyFont="1" applyBorder="1" applyAlignment="1">
      <alignment horizontal="right" vertical="center"/>
    </xf>
    <xf numFmtId="0" fontId="7" fillId="23" borderId="2" xfId="17" applyFill="1" applyBorder="1">
      <alignment vertical="center"/>
    </xf>
    <xf numFmtId="0" fontId="13" fillId="12" borderId="2" xfId="21" applyFill="1" applyBorder="1" applyAlignment="1">
      <alignment wrapText="1"/>
    </xf>
    <xf numFmtId="0" fontId="7" fillId="0" borderId="2" xfId="17" applyBorder="1">
      <alignment vertical="center"/>
    </xf>
    <xf numFmtId="0" fontId="7" fillId="0" borderId="7" xfId="17" applyBorder="1">
      <alignment vertical="center"/>
    </xf>
    <xf numFmtId="0" fontId="89" fillId="0" borderId="1" xfId="20" applyFont="1" applyBorder="1" applyAlignment="1">
      <alignment wrapText="1"/>
    </xf>
    <xf numFmtId="0" fontId="6" fillId="0" borderId="0" xfId="18" applyFont="1" applyAlignment="1">
      <alignment horizontal="right"/>
    </xf>
    <xf numFmtId="0" fontId="5" fillId="19" borderId="2" xfId="18" applyFont="1" applyFill="1" applyBorder="1"/>
    <xf numFmtId="0" fontId="6" fillId="0" borderId="0" xfId="18" applyFont="1" applyAlignment="1">
      <alignment horizontal="center"/>
    </xf>
    <xf numFmtId="0" fontId="6" fillId="11" borderId="2" xfId="18" applyFont="1" applyFill="1" applyBorder="1" applyAlignment="1">
      <alignment horizontal="center" vertical="center"/>
    </xf>
    <xf numFmtId="0" fontId="5" fillId="11" borderId="2" xfId="18" applyFont="1" applyFill="1" applyBorder="1" applyAlignment="1">
      <alignment horizontal="center" vertical="center"/>
    </xf>
    <xf numFmtId="10" fontId="5" fillId="11" borderId="2" xfId="18" applyNumberFormat="1" applyFont="1" applyFill="1" applyBorder="1" applyAlignment="1">
      <alignment horizontal="center" vertical="center"/>
    </xf>
    <xf numFmtId="0" fontId="49" fillId="0" borderId="0" xfId="18" applyFont="1" applyAlignment="1">
      <alignment horizontal="center"/>
    </xf>
    <xf numFmtId="0" fontId="49" fillId="0" borderId="0" xfId="22" applyFont="1" applyAlignment="1">
      <alignment horizontal="center"/>
    </xf>
    <xf numFmtId="0" fontId="49" fillId="0" borderId="0" xfId="22" applyFont="1" applyAlignment="1">
      <alignment horizontal="right" wrapText="1"/>
    </xf>
    <xf numFmtId="0" fontId="49" fillId="0" borderId="0" xfId="18" applyFont="1" applyAlignment="1">
      <alignment wrapText="1"/>
    </xf>
    <xf numFmtId="0" fontId="102" fillId="0" borderId="1" xfId="23" applyFont="1" applyBorder="1" applyAlignment="1">
      <alignment wrapText="1"/>
    </xf>
    <xf numFmtId="0" fontId="102" fillId="0" borderId="1" xfId="23" applyFont="1" applyBorder="1" applyAlignment="1">
      <alignment horizontal="right" wrapText="1"/>
    </xf>
    <xf numFmtId="196" fontId="102" fillId="0" borderId="1" xfId="23" applyNumberFormat="1" applyFont="1" applyBorder="1" applyAlignment="1">
      <alignment horizontal="right" wrapText="1"/>
    </xf>
    <xf numFmtId="0" fontId="101" fillId="0" borderId="0" xfId="23" applyFont="1"/>
    <xf numFmtId="0" fontId="0" fillId="0" borderId="0" xfId="24" applyNumberFormat="1" applyFont="1" applyFill="1" applyAlignment="1" applyProtection="1"/>
    <xf numFmtId="0" fontId="97" fillId="0" borderId="0" xfId="12" applyFont="1" applyAlignment="1" applyProtection="1">
      <alignment horizontal="center" vertical="center"/>
      <protection hidden="1"/>
    </xf>
    <xf numFmtId="0" fontId="0" fillId="0" borderId="0" xfId="0" quotePrefix="1"/>
    <xf numFmtId="0" fontId="103" fillId="0" borderId="0" xfId="12" applyFont="1" applyAlignment="1" applyProtection="1">
      <alignment horizontal="right" vertical="center"/>
      <protection hidden="1"/>
    </xf>
    <xf numFmtId="0" fontId="55" fillId="23" borderId="2" xfId="0" applyFont="1" applyFill="1" applyBorder="1" applyAlignment="1" applyProtection="1">
      <alignment horizontal="center" vertical="center" wrapText="1" shrinkToFit="1"/>
      <protection hidden="1"/>
    </xf>
    <xf numFmtId="0" fontId="0" fillId="0" borderId="0" xfId="0" applyAlignment="1">
      <alignment vertical="center" wrapText="1"/>
    </xf>
    <xf numFmtId="0" fontId="55" fillId="0" borderId="0" xfId="1" applyFont="1" applyAlignment="1" applyProtection="1">
      <alignment vertical="center" wrapText="1"/>
      <protection hidden="1"/>
    </xf>
    <xf numFmtId="0" fontId="32" fillId="0" borderId="0" xfId="0" applyFont="1" applyAlignment="1">
      <alignment vertical="center" shrinkToFit="1"/>
    </xf>
    <xf numFmtId="0" fontId="55" fillId="23" borderId="2" xfId="1" applyFont="1" applyFill="1" applyBorder="1" applyAlignment="1" applyProtection="1">
      <alignment horizontal="center" vertical="center" wrapText="1"/>
      <protection hidden="1"/>
    </xf>
    <xf numFmtId="191" fontId="32" fillId="0" borderId="0" xfId="13" applyNumberFormat="1" applyFont="1" applyFill="1" applyBorder="1" applyAlignment="1" applyProtection="1">
      <alignment vertical="center" shrinkToFit="1"/>
      <protection hidden="1"/>
    </xf>
    <xf numFmtId="0" fontId="107" fillId="0" borderId="0" xfId="1" applyFont="1" applyAlignment="1" applyProtection="1">
      <alignment vertical="center"/>
      <protection hidden="1"/>
    </xf>
    <xf numFmtId="0" fontId="32" fillId="14" borderId="2" xfId="1" applyFont="1" applyFill="1" applyBorder="1" applyAlignment="1" applyProtection="1">
      <alignment horizontal="center" vertical="center" wrapText="1" shrinkToFit="1"/>
      <protection hidden="1"/>
    </xf>
    <xf numFmtId="0" fontId="32" fillId="25" borderId="2" xfId="1" applyFont="1" applyFill="1" applyBorder="1" applyAlignment="1" applyProtection="1">
      <alignment horizontal="center" vertical="center" wrapText="1" shrinkToFit="1"/>
      <protection hidden="1"/>
    </xf>
    <xf numFmtId="0" fontId="0" fillId="18" borderId="0" xfId="0" applyFill="1"/>
    <xf numFmtId="0" fontId="108" fillId="18" borderId="0" xfId="0" applyFont="1" applyFill="1"/>
    <xf numFmtId="0" fontId="109" fillId="18" borderId="0" xfId="0" applyFont="1" applyFill="1"/>
    <xf numFmtId="0" fontId="60" fillId="0" borderId="0" xfId="1" applyFont="1" applyAlignment="1" applyProtection="1">
      <alignment vertical="center"/>
      <protection hidden="1"/>
    </xf>
    <xf numFmtId="0" fontId="7" fillId="2" borderId="0" xfId="12" applyFont="1" applyFill="1" applyAlignment="1" applyProtection="1">
      <alignment vertical="center" wrapText="1"/>
      <protection hidden="1"/>
    </xf>
    <xf numFmtId="0" fontId="0" fillId="0" borderId="0" xfId="1" applyFont="1" applyAlignment="1">
      <alignment vertical="center" wrapText="1"/>
    </xf>
    <xf numFmtId="0" fontId="6" fillId="0" borderId="0" xfId="12" applyFont="1" applyAlignment="1" applyProtection="1">
      <alignment horizontal="right" vertical="center"/>
      <protection hidden="1"/>
    </xf>
    <xf numFmtId="57" fontId="18" fillId="0" borderId="11" xfId="12" applyNumberFormat="1" applyFont="1" applyBorder="1" applyAlignment="1" applyProtection="1">
      <alignment horizontal="center" vertical="center"/>
      <protection hidden="1"/>
    </xf>
    <xf numFmtId="0" fontId="85" fillId="0" borderId="0" xfId="12" applyFont="1" applyAlignment="1" applyProtection="1">
      <alignment horizontal="left" vertical="center"/>
      <protection hidden="1"/>
    </xf>
    <xf numFmtId="0" fontId="27" fillId="0" borderId="0" xfId="12" applyFont="1" applyAlignment="1" applyProtection="1">
      <alignment horizontal="right" vertical="center"/>
      <protection hidden="1"/>
    </xf>
    <xf numFmtId="0" fontId="28" fillId="0" borderId="23" xfId="12" applyFont="1" applyBorder="1" applyAlignment="1" applyProtection="1">
      <alignment horizontal="right" vertical="center"/>
      <protection hidden="1"/>
    </xf>
    <xf numFmtId="0" fontId="15" fillId="0" borderId="0" xfId="12" applyFont="1" applyAlignment="1" applyProtection="1">
      <alignment horizontal="right" vertical="center"/>
      <protection hidden="1"/>
    </xf>
    <xf numFmtId="0" fontId="82" fillId="18" borderId="18" xfId="12" applyFont="1" applyFill="1" applyBorder="1" applyAlignment="1" applyProtection="1">
      <alignment horizontal="center" vertical="center"/>
      <protection locked="0" hidden="1"/>
    </xf>
    <xf numFmtId="0" fontId="82" fillId="18" borderId="8" xfId="12" applyFont="1" applyFill="1" applyBorder="1" applyAlignment="1" applyProtection="1">
      <alignment horizontal="center" vertical="center"/>
      <protection locked="0" hidden="1"/>
    </xf>
    <xf numFmtId="0" fontId="82" fillId="18" borderId="13" xfId="12" applyFont="1" applyFill="1" applyBorder="1" applyAlignment="1" applyProtection="1">
      <alignment horizontal="center" vertical="center"/>
      <protection locked="0" hidden="1"/>
    </xf>
    <xf numFmtId="0" fontId="90" fillId="0" borderId="0" xfId="12" applyFont="1" applyAlignment="1" applyProtection="1">
      <alignment horizontal="center" vertical="center" shrinkToFit="1"/>
      <protection hidden="1"/>
    </xf>
    <xf numFmtId="0" fontId="36" fillId="0" borderId="23" xfId="12" applyFont="1" applyBorder="1" applyAlignment="1" applyProtection="1">
      <alignment horizontal="left" vertical="center" shrinkToFit="1"/>
      <protection hidden="1"/>
    </xf>
    <xf numFmtId="0" fontId="18" fillId="0" borderId="0" xfId="12" applyFont="1" applyAlignment="1" applyProtection="1">
      <alignment horizontal="left" vertical="center" shrinkToFit="1"/>
      <protection hidden="1"/>
    </xf>
    <xf numFmtId="0" fontId="93" fillId="0" borderId="0" xfId="12" applyFont="1" applyAlignment="1" applyProtection="1">
      <alignment horizontal="right" vertical="center" wrapText="1"/>
      <protection hidden="1"/>
    </xf>
    <xf numFmtId="0" fontId="18" fillId="0" borderId="24" xfId="12" applyFont="1" applyBorder="1" applyAlignment="1" applyProtection="1">
      <alignment horizontal="left" vertical="center" shrinkToFit="1"/>
      <protection hidden="1"/>
    </xf>
    <xf numFmtId="186" fontId="15" fillId="0" borderId="10" xfId="12" applyNumberFormat="1" applyFont="1" applyBorder="1" applyAlignment="1" applyProtection="1">
      <alignment horizontal="left" vertical="center" shrinkToFit="1"/>
      <protection hidden="1"/>
    </xf>
    <xf numFmtId="186" fontId="15" fillId="0" borderId="11" xfId="12" applyNumberFormat="1" applyFont="1" applyBorder="1" applyAlignment="1" applyProtection="1">
      <alignment horizontal="left" vertical="center" shrinkToFit="1"/>
      <protection hidden="1"/>
    </xf>
    <xf numFmtId="0" fontId="36" fillId="0" borderId="23" xfId="12" applyFont="1" applyBorder="1" applyAlignment="1" applyProtection="1">
      <alignment vertical="center"/>
      <protection hidden="1"/>
    </xf>
    <xf numFmtId="0" fontId="36" fillId="0" borderId="0" xfId="12" applyFont="1" applyAlignment="1" applyProtection="1">
      <alignment vertical="center"/>
      <protection hidden="1"/>
    </xf>
    <xf numFmtId="0" fontId="35" fillId="0" borderId="0" xfId="12" applyFont="1" applyAlignment="1" applyProtection="1">
      <alignment horizontal="right" vertical="center" wrapText="1"/>
      <protection hidden="1"/>
    </xf>
    <xf numFmtId="0" fontId="23" fillId="0" borderId="0" xfId="12" applyFont="1" applyAlignment="1" applyProtection="1">
      <alignment horizontal="right" vertical="center" wrapText="1"/>
      <protection hidden="1"/>
    </xf>
    <xf numFmtId="177" fontId="17" fillId="18" borderId="2" xfId="12" applyNumberFormat="1" applyFont="1" applyFill="1" applyBorder="1" applyAlignment="1" applyProtection="1">
      <alignment horizontal="center" vertical="center" shrinkToFit="1"/>
      <protection locked="0" hidden="1"/>
    </xf>
    <xf numFmtId="0" fontId="17" fillId="18" borderId="2" xfId="12" applyFont="1" applyFill="1" applyBorder="1" applyAlignment="1" applyProtection="1">
      <alignment horizontal="center" vertical="center"/>
      <protection locked="0" hidden="1"/>
    </xf>
    <xf numFmtId="0" fontId="37" fillId="18" borderId="2" xfId="12" applyFont="1" applyFill="1" applyBorder="1" applyAlignment="1" applyProtection="1">
      <alignment horizontal="center" vertical="center"/>
      <protection locked="0" hidden="1"/>
    </xf>
    <xf numFmtId="0" fontId="50" fillId="0" borderId="0" xfId="12" applyFont="1" applyAlignment="1" applyProtection="1">
      <alignment horizontal="left" vertical="center"/>
      <protection hidden="1"/>
    </xf>
    <xf numFmtId="0" fontId="19" fillId="0" borderId="0" xfId="12" applyFont="1" applyAlignment="1" applyProtection="1">
      <alignment horizontal="right" vertical="center" wrapText="1"/>
      <protection hidden="1"/>
    </xf>
    <xf numFmtId="0" fontId="19" fillId="0" borderId="24" xfId="12" applyFont="1" applyBorder="1" applyAlignment="1" applyProtection="1">
      <alignment horizontal="right" vertical="center" wrapText="1"/>
      <protection hidden="1"/>
    </xf>
    <xf numFmtId="0" fontId="94" fillId="18" borderId="2" xfId="12" applyFont="1" applyFill="1" applyBorder="1" applyAlignment="1" applyProtection="1">
      <alignment horizontal="center" vertical="center" shrinkToFit="1"/>
      <protection locked="0"/>
    </xf>
    <xf numFmtId="0" fontId="37" fillId="18" borderId="2" xfId="12" applyFont="1" applyFill="1" applyBorder="1" applyAlignment="1" applyProtection="1">
      <alignment horizontal="center" vertical="center" shrinkToFit="1"/>
      <protection locked="0" hidden="1"/>
    </xf>
    <xf numFmtId="0" fontId="94" fillId="18" borderId="2" xfId="12" applyFont="1" applyFill="1" applyBorder="1" applyAlignment="1" applyProtection="1">
      <alignment horizontal="left" vertical="center"/>
      <protection locked="0" hidden="1"/>
    </xf>
    <xf numFmtId="0" fontId="95" fillId="18" borderId="2" xfId="0" applyFont="1" applyFill="1" applyBorder="1" applyAlignment="1">
      <alignment vertical="center"/>
    </xf>
    <xf numFmtId="0" fontId="104" fillId="18" borderId="2" xfId="12" applyFont="1" applyFill="1" applyBorder="1" applyAlignment="1" applyProtection="1">
      <alignment horizontal="center" vertical="center" shrinkToFit="1"/>
      <protection hidden="1"/>
    </xf>
    <xf numFmtId="0" fontId="105" fillId="18" borderId="2" xfId="12" applyFont="1" applyFill="1" applyBorder="1" applyAlignment="1" applyProtection="1">
      <alignment horizontal="center" vertical="center" shrinkToFit="1"/>
      <protection hidden="1"/>
    </xf>
    <xf numFmtId="182" fontId="15" fillId="0" borderId="27" xfId="12" applyNumberFormat="1" applyFont="1" applyBorder="1" applyAlignment="1" applyProtection="1">
      <alignment horizontal="center" vertical="center"/>
      <protection hidden="1"/>
    </xf>
    <xf numFmtId="182" fontId="15" fillId="0" borderId="0" xfId="12" applyNumberFormat="1" applyFont="1" applyAlignment="1" applyProtection="1">
      <alignment horizontal="center" vertical="center"/>
      <protection hidden="1"/>
    </xf>
    <xf numFmtId="0" fontId="29" fillId="0" borderId="23" xfId="12" applyFont="1" applyBorder="1" applyAlignment="1" applyProtection="1">
      <alignment horizontal="right" vertical="center"/>
      <protection hidden="1"/>
    </xf>
    <xf numFmtId="0" fontId="30" fillId="0" borderId="0" xfId="12" applyFont="1" applyAlignment="1" applyProtection="1">
      <alignment horizontal="right" vertical="center"/>
      <protection hidden="1"/>
    </xf>
    <xf numFmtId="0" fontId="30" fillId="0" borderId="23" xfId="12" applyFont="1" applyBorder="1" applyAlignment="1" applyProtection="1">
      <alignment horizontal="right" vertical="center"/>
      <protection hidden="1"/>
    </xf>
    <xf numFmtId="0" fontId="18" fillId="0" borderId="0" xfId="12" applyFont="1" applyAlignment="1" applyProtection="1">
      <alignment horizontal="center" vertical="center"/>
      <protection hidden="1"/>
    </xf>
    <xf numFmtId="0" fontId="106" fillId="0" borderId="0" xfId="12" applyFont="1" applyAlignment="1" applyProtection="1">
      <alignment horizontal="center" vertical="center"/>
      <protection hidden="1"/>
    </xf>
    <xf numFmtId="0" fontId="15" fillId="0" borderId="0" xfId="12" applyFont="1" applyAlignment="1" applyProtection="1">
      <alignment horizontal="center" vertical="center"/>
      <protection hidden="1"/>
    </xf>
    <xf numFmtId="0" fontId="92" fillId="14" borderId="0" xfId="12" applyFont="1" applyFill="1" applyAlignment="1" applyProtection="1">
      <alignment horizontal="center" vertical="center"/>
      <protection hidden="1"/>
    </xf>
    <xf numFmtId="0" fontId="86" fillId="0" borderId="0" xfId="12" applyFont="1" applyAlignment="1" applyProtection="1">
      <alignment horizontal="center" vertical="center"/>
      <protection hidden="1"/>
    </xf>
    <xf numFmtId="0" fontId="17" fillId="0" borderId="0" xfId="12" applyFont="1" applyAlignment="1" applyProtection="1">
      <alignment horizontal="center" vertical="center"/>
      <protection hidden="1"/>
    </xf>
    <xf numFmtId="0" fontId="78" fillId="14" borderId="0" xfId="12" applyFont="1" applyFill="1" applyAlignment="1" applyProtection="1">
      <alignment horizontal="center" vertical="center"/>
      <protection hidden="1"/>
    </xf>
    <xf numFmtId="0" fontId="94" fillId="18" borderId="18" xfId="12" applyFont="1" applyFill="1" applyBorder="1" applyAlignment="1" applyProtection="1">
      <alignment horizontal="center" vertical="center"/>
      <protection locked="0" hidden="1"/>
    </xf>
    <xf numFmtId="0" fontId="94" fillId="18" borderId="8" xfId="12" applyFont="1" applyFill="1" applyBorder="1" applyAlignment="1" applyProtection="1">
      <alignment horizontal="center" vertical="center"/>
      <protection locked="0" hidden="1"/>
    </xf>
    <xf numFmtId="0" fontId="94" fillId="18" borderId="13" xfId="12" applyFont="1" applyFill="1" applyBorder="1" applyAlignment="1" applyProtection="1">
      <alignment horizontal="center" vertical="center"/>
      <protection locked="0" hidden="1"/>
    </xf>
    <xf numFmtId="0" fontId="17" fillId="18" borderId="18" xfId="12" applyFont="1" applyFill="1" applyBorder="1" applyAlignment="1" applyProtection="1">
      <alignment horizontal="center" vertical="center" shrinkToFit="1"/>
      <protection locked="0"/>
    </xf>
    <xf numFmtId="0" fontId="17" fillId="18" borderId="8" xfId="12" applyFont="1" applyFill="1" applyBorder="1" applyAlignment="1" applyProtection="1">
      <alignment horizontal="center" vertical="center" shrinkToFit="1"/>
      <protection locked="0"/>
    </xf>
    <xf numFmtId="0" fontId="17" fillId="18" borderId="13" xfId="12" applyFont="1" applyFill="1" applyBorder="1" applyAlignment="1" applyProtection="1">
      <alignment horizontal="center" vertical="center" shrinkToFit="1"/>
      <protection locked="0"/>
    </xf>
    <xf numFmtId="0" fontId="15" fillId="0" borderId="0" xfId="12" applyFont="1" applyAlignment="1" applyProtection="1">
      <alignment horizontal="left" vertical="center" shrinkToFit="1"/>
      <protection hidden="1"/>
    </xf>
    <xf numFmtId="0" fontId="82" fillId="18" borderId="18" xfId="12" applyFont="1" applyFill="1" applyBorder="1" applyAlignment="1" applyProtection="1">
      <alignment horizontal="center" vertical="center" shrinkToFit="1"/>
      <protection locked="0" hidden="1"/>
    </xf>
    <xf numFmtId="0" fontId="82" fillId="18" borderId="13" xfId="12" applyFont="1" applyFill="1" applyBorder="1" applyAlignment="1" applyProtection="1">
      <alignment horizontal="center" vertical="center" shrinkToFit="1"/>
      <protection locked="0" hidden="1"/>
    </xf>
    <xf numFmtId="0" fontId="7" fillId="19" borderId="11" xfId="19" applyFill="1" applyBorder="1" applyAlignment="1">
      <alignment horizontal="center" vertical="center"/>
    </xf>
    <xf numFmtId="191" fontId="32" fillId="0" borderId="18" xfId="13" applyNumberFormat="1" applyFont="1" applyFill="1" applyBorder="1" applyAlignment="1" applyProtection="1">
      <alignment horizontal="right" vertical="center" shrinkToFit="1"/>
      <protection hidden="1"/>
    </xf>
    <xf numFmtId="191" fontId="32" fillId="0" borderId="13" xfId="13" applyNumberFormat="1" applyFont="1" applyFill="1" applyBorder="1" applyAlignment="1" applyProtection="1">
      <alignment horizontal="right" vertical="center" shrinkToFit="1"/>
      <protection hidden="1"/>
    </xf>
    <xf numFmtId="191" fontId="32" fillId="0" borderId="8" xfId="13" applyNumberFormat="1" applyFont="1" applyFill="1" applyBorder="1" applyAlignment="1" applyProtection="1">
      <alignment horizontal="right" vertical="center" shrinkToFit="1"/>
      <protection hidden="1"/>
    </xf>
    <xf numFmtId="191" fontId="32" fillId="0" borderId="2" xfId="13" applyNumberFormat="1" applyFont="1" applyFill="1" applyBorder="1" applyAlignment="1" applyProtection="1">
      <alignment horizontal="center" vertical="center" shrinkToFit="1"/>
      <protection hidden="1"/>
    </xf>
    <xf numFmtId="191" fontId="32" fillId="0" borderId="18" xfId="13" applyNumberFormat="1" applyFont="1" applyFill="1" applyBorder="1" applyAlignment="1" applyProtection="1">
      <alignment horizontal="center" vertical="center" shrinkToFit="1"/>
      <protection hidden="1"/>
    </xf>
    <xf numFmtId="191" fontId="32" fillId="0" borderId="13" xfId="13" applyNumberFormat="1" applyFont="1" applyFill="1" applyBorder="1" applyAlignment="1" applyProtection="1">
      <alignment horizontal="center" vertical="center" shrinkToFit="1"/>
      <protection hidden="1"/>
    </xf>
    <xf numFmtId="0" fontId="55" fillId="14" borderId="2" xfId="1" applyFont="1" applyFill="1" applyBorder="1" applyAlignment="1" applyProtection="1">
      <alignment vertical="center" wrapText="1"/>
      <protection hidden="1"/>
    </xf>
    <xf numFmtId="0" fontId="32" fillId="14" borderId="2" xfId="1" applyFont="1" applyFill="1" applyBorder="1" applyAlignment="1" applyProtection="1">
      <alignment horizontal="right" vertical="center" wrapText="1"/>
      <protection hidden="1"/>
    </xf>
    <xf numFmtId="0" fontId="38" fillId="14" borderId="2" xfId="1" applyFont="1" applyFill="1" applyBorder="1" applyAlignment="1" applyProtection="1">
      <alignment vertical="center" wrapText="1"/>
      <protection hidden="1"/>
    </xf>
    <xf numFmtId="0" fontId="55" fillId="25" borderId="2" xfId="1" applyFont="1" applyFill="1" applyBorder="1" applyAlignment="1" applyProtection="1">
      <alignment vertical="center" wrapText="1"/>
      <protection hidden="1"/>
    </xf>
    <xf numFmtId="0" fontId="55" fillId="25" borderId="9" xfId="1" applyFont="1" applyFill="1" applyBorder="1" applyAlignment="1" applyProtection="1">
      <alignment horizontal="center" vertical="center" wrapText="1"/>
      <protection hidden="1"/>
    </xf>
    <xf numFmtId="0" fontId="55" fillId="25" borderId="28" xfId="1" applyFont="1" applyFill="1" applyBorder="1" applyAlignment="1" applyProtection="1">
      <alignment horizontal="center" vertical="center" wrapText="1"/>
      <protection hidden="1"/>
    </xf>
    <xf numFmtId="0" fontId="55" fillId="25" borderId="5" xfId="1" applyFont="1" applyFill="1" applyBorder="1" applyAlignment="1" applyProtection="1">
      <alignment horizontal="center" vertical="center" wrapText="1"/>
      <protection hidden="1"/>
    </xf>
    <xf numFmtId="0" fontId="55" fillId="25" borderId="10" xfId="1" applyFont="1" applyFill="1" applyBorder="1" applyAlignment="1" applyProtection="1">
      <alignment horizontal="center" vertical="center" wrapText="1"/>
      <protection hidden="1"/>
    </xf>
    <xf numFmtId="0" fontId="55" fillId="25" borderId="11" xfId="1" applyFont="1" applyFill="1" applyBorder="1" applyAlignment="1" applyProtection="1">
      <alignment horizontal="center" vertical="center" wrapText="1"/>
      <protection hidden="1"/>
    </xf>
    <xf numFmtId="0" fontId="55" fillId="25" borderId="6" xfId="1" applyFont="1" applyFill="1" applyBorder="1" applyAlignment="1" applyProtection="1">
      <alignment horizontal="center" vertical="center" wrapText="1"/>
      <protection hidden="1"/>
    </xf>
    <xf numFmtId="0" fontId="38" fillId="25" borderId="9" xfId="1" applyFont="1" applyFill="1" applyBorder="1" applyAlignment="1" applyProtection="1">
      <alignment vertical="center" wrapText="1"/>
      <protection hidden="1"/>
    </xf>
    <xf numFmtId="0" fontId="38" fillId="25" borderId="28" xfId="1" applyFont="1" applyFill="1" applyBorder="1" applyAlignment="1" applyProtection="1">
      <alignment vertical="center" wrapText="1"/>
      <protection hidden="1"/>
    </xf>
    <xf numFmtId="0" fontId="38" fillId="25" borderId="5" xfId="1" applyFont="1" applyFill="1" applyBorder="1" applyAlignment="1" applyProtection="1">
      <alignment vertical="center" wrapText="1"/>
      <protection hidden="1"/>
    </xf>
    <xf numFmtId="0" fontId="38" fillId="25" borderId="10" xfId="1" applyFont="1" applyFill="1" applyBorder="1" applyAlignment="1" applyProtection="1">
      <alignment vertical="center" wrapText="1"/>
      <protection hidden="1"/>
    </xf>
    <xf numFmtId="0" fontId="38" fillId="25" borderId="11" xfId="1" applyFont="1" applyFill="1" applyBorder="1" applyAlignment="1" applyProtection="1">
      <alignment vertical="center" wrapText="1"/>
      <protection hidden="1"/>
    </xf>
    <xf numFmtId="0" fontId="38" fillId="25" borderId="6" xfId="1" applyFont="1" applyFill="1" applyBorder="1" applyAlignment="1" applyProtection="1">
      <alignment vertical="center" wrapText="1"/>
      <protection hidden="1"/>
    </xf>
    <xf numFmtId="0" fontId="55" fillId="23" borderId="18" xfId="1" applyFont="1" applyFill="1" applyBorder="1" applyAlignment="1" applyProtection="1">
      <alignment horizontal="center" vertical="center" wrapText="1"/>
      <protection hidden="1"/>
    </xf>
    <xf numFmtId="0" fontId="55" fillId="23" borderId="13" xfId="1" applyFont="1" applyFill="1" applyBorder="1" applyAlignment="1" applyProtection="1">
      <alignment horizontal="center" vertical="center" wrapText="1"/>
      <protection hidden="1"/>
    </xf>
    <xf numFmtId="0" fontId="55" fillId="23" borderId="8" xfId="1" applyFont="1" applyFill="1" applyBorder="1" applyAlignment="1" applyProtection="1">
      <alignment horizontal="center" vertical="center" wrapText="1"/>
      <protection hidden="1"/>
    </xf>
    <xf numFmtId="0" fontId="55" fillId="23" borderId="2" xfId="1" applyFont="1" applyFill="1" applyBorder="1" applyAlignment="1" applyProtection="1">
      <alignment horizontal="center" vertical="center" wrapText="1"/>
      <protection hidden="1"/>
    </xf>
    <xf numFmtId="0" fontId="55" fillId="25" borderId="9" xfId="1" applyFont="1" applyFill="1" applyBorder="1" applyAlignment="1" applyProtection="1">
      <alignment vertical="center" wrapText="1"/>
      <protection hidden="1"/>
    </xf>
    <xf numFmtId="0" fontId="55" fillId="25" borderId="5" xfId="1" applyFont="1" applyFill="1" applyBorder="1" applyAlignment="1" applyProtection="1">
      <alignment vertical="center" wrapText="1"/>
      <protection hidden="1"/>
    </xf>
    <xf numFmtId="0" fontId="55" fillId="25" borderId="10" xfId="1" applyFont="1" applyFill="1" applyBorder="1" applyAlignment="1" applyProtection="1">
      <alignment vertical="center" wrapText="1"/>
      <protection hidden="1"/>
    </xf>
    <xf numFmtId="0" fontId="55" fillId="25" borderId="6" xfId="1" applyFont="1" applyFill="1" applyBorder="1" applyAlignment="1" applyProtection="1">
      <alignment vertical="center" wrapText="1"/>
      <protection hidden="1"/>
    </xf>
    <xf numFmtId="0" fontId="55" fillId="23" borderId="2" xfId="0" applyFont="1" applyFill="1" applyBorder="1" applyAlignment="1" applyProtection="1">
      <alignment horizontal="center" vertical="center" shrinkToFit="1"/>
      <protection hidden="1"/>
    </xf>
    <xf numFmtId="0" fontId="38" fillId="25" borderId="2" xfId="1" applyFont="1" applyFill="1" applyBorder="1" applyAlignment="1" applyProtection="1">
      <alignment vertical="center" wrapText="1"/>
      <protection hidden="1"/>
    </xf>
    <xf numFmtId="0" fontId="38" fillId="25" borderId="2" xfId="0" applyFont="1" applyFill="1" applyBorder="1" applyAlignment="1">
      <alignment vertical="center" wrapText="1"/>
    </xf>
    <xf numFmtId="0" fontId="38" fillId="0" borderId="2" xfId="1" applyFont="1" applyBorder="1" applyAlignment="1" applyProtection="1">
      <alignment vertical="center" wrapText="1"/>
      <protection hidden="1"/>
    </xf>
    <xf numFmtId="0" fontId="32" fillId="14" borderId="2" xfId="1" applyFont="1" applyFill="1" applyBorder="1" applyAlignment="1" applyProtection="1">
      <alignment horizontal="right" vertical="center" wrapText="1" shrinkToFit="1"/>
      <protection hidden="1"/>
    </xf>
    <xf numFmtId="0" fontId="32" fillId="25" borderId="2" xfId="1" applyFont="1" applyFill="1" applyBorder="1" applyAlignment="1" applyProtection="1">
      <alignment horizontal="right" vertical="center" wrapText="1" shrinkToFit="1"/>
      <protection hidden="1"/>
    </xf>
    <xf numFmtId="0" fontId="32" fillId="25" borderId="2" xfId="1" applyFont="1" applyFill="1" applyBorder="1" applyAlignment="1" applyProtection="1">
      <alignment horizontal="center" vertical="center" wrapText="1" shrinkToFit="1"/>
      <protection hidden="1"/>
    </xf>
    <xf numFmtId="0" fontId="60" fillId="0" borderId="0" xfId="1" applyFont="1" applyAlignment="1" applyProtection="1">
      <alignment horizontal="center" vertical="center"/>
      <protection hidden="1"/>
    </xf>
    <xf numFmtId="0" fontId="100" fillId="0" borderId="0" xfId="1" applyFont="1" applyAlignment="1" applyProtection="1">
      <alignment horizontal="right" vertical="center"/>
      <protection hidden="1"/>
    </xf>
    <xf numFmtId="0" fontId="91" fillId="0" borderId="0" xfId="0" applyFont="1" applyAlignment="1">
      <alignment horizontal="right" vertical="center"/>
    </xf>
    <xf numFmtId="0" fontId="10" fillId="18" borderId="2" xfId="12" applyFont="1" applyFill="1" applyBorder="1" applyAlignment="1" applyProtection="1">
      <alignment horizontal="center" vertical="center" shrinkToFit="1"/>
      <protection hidden="1"/>
    </xf>
    <xf numFmtId="0" fontId="55" fillId="2" borderId="11" xfId="1" applyFont="1" applyFill="1" applyBorder="1" applyAlignment="1" applyProtection="1">
      <alignment horizontal="left" vertical="center"/>
      <protection hidden="1"/>
    </xf>
    <xf numFmtId="0" fontId="55" fillId="0" borderId="0" xfId="1" applyFont="1" applyAlignment="1" applyProtection="1">
      <alignment horizontal="right" vertical="center"/>
      <protection hidden="1"/>
    </xf>
    <xf numFmtId="0" fontId="55" fillId="0" borderId="0" xfId="1" applyFont="1" applyAlignment="1" applyProtection="1">
      <alignment horizontal="right" vertical="center" shrinkToFit="1"/>
      <protection hidden="1"/>
    </xf>
    <xf numFmtId="0" fontId="42" fillId="0" borderId="0" xfId="1" applyFont="1" applyAlignment="1" applyProtection="1">
      <alignment horizontal="left" vertical="center"/>
      <protection hidden="1"/>
    </xf>
    <xf numFmtId="0" fontId="43" fillId="0" borderId="0" xfId="1" applyFont="1" applyAlignment="1" applyProtection="1">
      <alignment horizontal="left" vertical="center"/>
      <protection hidden="1"/>
    </xf>
    <xf numFmtId="41" fontId="32" fillId="0" borderId="2" xfId="14" applyFont="1" applyBorder="1" applyAlignment="1" applyProtection="1">
      <alignment horizontal="center" vertical="center" shrinkToFit="1"/>
      <protection hidden="1"/>
    </xf>
    <xf numFmtId="0" fontId="55" fillId="0" borderId="0" xfId="1" applyFont="1" applyAlignment="1" applyProtection="1">
      <alignment horizontal="left" vertical="center" shrinkToFit="1"/>
      <protection hidden="1"/>
    </xf>
    <xf numFmtId="182" fontId="55" fillId="0" borderId="0" xfId="1" applyNumberFormat="1" applyFont="1" applyAlignment="1" applyProtection="1">
      <alignment horizontal="left" vertical="center"/>
      <protection hidden="1"/>
    </xf>
    <xf numFmtId="0" fontId="32" fillId="0" borderId="2" xfId="1" applyFont="1" applyBorder="1" applyAlignment="1" applyProtection="1">
      <alignment horizontal="center" vertical="center" shrinkToFit="1"/>
      <protection hidden="1"/>
    </xf>
    <xf numFmtId="184" fontId="32" fillId="0" borderId="2" xfId="1" applyNumberFormat="1" applyFont="1" applyBorder="1" applyAlignment="1" applyProtection="1">
      <alignment horizontal="center" vertical="center"/>
      <protection hidden="1"/>
    </xf>
    <xf numFmtId="0" fontId="48" fillId="0" borderId="0" xfId="1" applyFont="1" applyAlignment="1" applyProtection="1">
      <alignment horizontal="left" vertical="center"/>
      <protection hidden="1"/>
    </xf>
    <xf numFmtId="0" fontId="55" fillId="0" borderId="11" xfId="1" applyFont="1" applyBorder="1" applyAlignment="1" applyProtection="1">
      <alignment horizontal="right" vertical="center" shrinkToFit="1"/>
      <protection hidden="1"/>
    </xf>
    <xf numFmtId="0" fontId="39" fillId="0" borderId="11" xfId="0" applyFont="1" applyBorder="1" applyAlignment="1">
      <alignment vertical="center" shrinkToFit="1"/>
    </xf>
    <xf numFmtId="0" fontId="0" fillId="23" borderId="8" xfId="0" applyFill="1" applyBorder="1" applyAlignment="1">
      <alignment horizontal="center" vertical="center" wrapText="1"/>
    </xf>
    <xf numFmtId="0" fontId="0" fillId="23" borderId="13" xfId="0" applyFill="1" applyBorder="1" applyAlignment="1">
      <alignment horizontal="center" vertical="center" wrapText="1"/>
    </xf>
    <xf numFmtId="183" fontId="55" fillId="0" borderId="18" xfId="1" applyNumberFormat="1" applyFont="1" applyBorder="1" applyAlignment="1" applyProtection="1">
      <alignment horizontal="left" vertical="center" shrinkToFit="1"/>
      <protection hidden="1"/>
    </xf>
    <xf numFmtId="0" fontId="0" fillId="0" borderId="8" xfId="0" applyBorder="1" applyAlignment="1">
      <alignment vertical="center" shrinkToFit="1"/>
    </xf>
    <xf numFmtId="0" fontId="0" fillId="0" borderId="13" xfId="0" applyBorder="1" applyAlignment="1">
      <alignment vertical="center" shrinkToFit="1"/>
    </xf>
    <xf numFmtId="0" fontId="55" fillId="0" borderId="11" xfId="1" applyFont="1" applyBorder="1" applyAlignment="1" applyProtection="1">
      <alignment horizontal="left" vertical="center" shrinkToFit="1"/>
      <protection hidden="1"/>
    </xf>
    <xf numFmtId="0" fontId="68" fillId="0" borderId="0" xfId="0" applyFont="1" applyAlignment="1">
      <alignment horizontal="center" vertical="center"/>
    </xf>
    <xf numFmtId="0" fontId="56" fillId="11" borderId="2" xfId="12" applyFont="1" applyFill="1" applyBorder="1" applyAlignment="1" applyProtection="1">
      <alignment horizontal="center" vertical="center" shrinkToFit="1"/>
      <protection hidden="1"/>
    </xf>
    <xf numFmtId="0" fontId="67" fillId="18" borderId="2" xfId="1" applyFont="1" applyFill="1" applyBorder="1" applyAlignment="1" applyProtection="1">
      <alignment horizontal="center" vertical="center"/>
      <protection hidden="1"/>
    </xf>
    <xf numFmtId="0" fontId="52" fillId="23" borderId="2" xfId="0" applyFont="1" applyFill="1" applyBorder="1" applyAlignment="1" applyProtection="1">
      <alignment horizontal="left" vertical="center"/>
      <protection hidden="1"/>
    </xf>
    <xf numFmtId="0" fontId="39" fillId="0" borderId="2" xfId="0" applyFont="1" applyBorder="1" applyAlignment="1">
      <alignment horizontal="left" vertical="center"/>
    </xf>
    <xf numFmtId="0" fontId="0" fillId="0" borderId="2" xfId="0" applyBorder="1"/>
    <xf numFmtId="0" fontId="52" fillId="23" borderId="2" xfId="0" applyFont="1" applyFill="1" applyBorder="1" applyAlignment="1" applyProtection="1">
      <alignment horizontal="center" vertical="center"/>
      <protection hidden="1"/>
    </xf>
    <xf numFmtId="0" fontId="39" fillId="0" borderId="2" xfId="0" applyFont="1" applyBorder="1"/>
    <xf numFmtId="0" fontId="52" fillId="14" borderId="2" xfId="0" applyFont="1" applyFill="1" applyBorder="1" applyAlignment="1" applyProtection="1">
      <alignment horizontal="left" vertical="center"/>
      <protection hidden="1"/>
    </xf>
    <xf numFmtId="0" fontId="0" fillId="14" borderId="2" xfId="0" applyFill="1" applyBorder="1" applyAlignment="1">
      <alignment horizontal="left" vertical="center"/>
    </xf>
    <xf numFmtId="0" fontId="0" fillId="14" borderId="2" xfId="0" applyFill="1" applyBorder="1"/>
    <xf numFmtId="10" fontId="98" fillId="0" borderId="2" xfId="0" applyNumberFormat="1" applyFont="1" applyBorder="1" applyAlignment="1" applyProtection="1">
      <alignment horizontal="center" vertical="center"/>
      <protection hidden="1"/>
    </xf>
    <xf numFmtId="10" fontId="0" fillId="0" borderId="2" xfId="0" applyNumberFormat="1" applyBorder="1"/>
    <xf numFmtId="177" fontId="32" fillId="0" borderId="2" xfId="0" applyNumberFormat="1" applyFont="1" applyBorder="1" applyAlignment="1">
      <alignment horizontal="right" vertical="center"/>
    </xf>
    <xf numFmtId="0" fontId="0" fillId="0" borderId="2" xfId="0" applyBorder="1" applyAlignment="1">
      <alignment horizontal="right"/>
    </xf>
  </cellXfs>
  <cellStyles count="25">
    <cellStyle name="_x000e__x0008__x000a_" xfId="1" xr:uid="{00000000-0005-0000-0000-000000000000}"/>
    <cellStyle name="_x000e__x0008__x000a_ 2" xfId="2" xr:uid="{00000000-0005-0000-0000-000001000000}"/>
    <cellStyle name="_x000e__x0008__x000a_ 2 2" xfId="18" xr:uid="{00000000-0005-0000-0000-000002000000}"/>
    <cellStyle name="_x000e__x0008__x000a_ 3" xfId="15" xr:uid="{00000000-0005-0000-0000-000003000000}"/>
    <cellStyle name="_x000a_386grabber=v" xfId="3" xr:uid="{00000000-0005-0000-0000-000004000000}"/>
    <cellStyle name="一般" xfId="0" builtinId="0"/>
    <cellStyle name="一般 4" xfId="19" xr:uid="{00000000-0005-0000-0000-000006000000}"/>
    <cellStyle name="一般_20XWS_factor for proposal" xfId="4" xr:uid="{00000000-0005-0000-0000-000007000000}"/>
    <cellStyle name="一般_data" xfId="5" xr:uid="{00000000-0005-0000-0000-000008000000}"/>
    <cellStyle name="一般_data_1" xfId="23" xr:uid="{00000000-0005-0000-0000-000009000000}"/>
    <cellStyle name="一般_Factor_建議書_FB_XWA1_(所繳保險費)" xfId="6" xr:uid="{00000000-0005-0000-0000-00000A000000}"/>
    <cellStyle name="一般_OP" xfId="7" xr:uid="{00000000-0005-0000-0000-00000B000000}"/>
    <cellStyle name="一般_OP 2" xfId="22" xr:uid="{00000000-0005-0000-0000-00000C000000}"/>
    <cellStyle name="一般_OP_2" xfId="8" xr:uid="{00000000-0005-0000-0000-00000D000000}"/>
    <cellStyle name="一般_P_DATA" xfId="16" xr:uid="{00000000-0005-0000-0000-00000E000000}"/>
    <cellStyle name="一般_XWO0701" xfId="9" xr:uid="{00000000-0005-0000-0000-00000F000000}"/>
    <cellStyle name="一般_分紅與不分紅揭露" xfId="10" xr:uid="{00000000-0005-0000-0000-000010000000}"/>
    <cellStyle name="一般_我用的-年齡計算函數e" xfId="11" xr:uid="{00000000-0005-0000-0000-000011000000}"/>
    <cellStyle name="一般_我用的-年齡計算函數e 2" xfId="17" xr:uid="{00000000-0005-0000-0000-000012000000}"/>
    <cellStyle name="一般_頁面" xfId="12" xr:uid="{00000000-0005-0000-0000-000013000000}"/>
    <cellStyle name="一般_揭露" xfId="20" xr:uid="{00000000-0005-0000-0000-000014000000}"/>
    <cellStyle name="一般_揭露_2" xfId="21" xr:uid="{00000000-0005-0000-0000-000015000000}"/>
    <cellStyle name="千分位" xfId="13" builtinId="3"/>
    <cellStyle name="千分位[0]" xfId="14" builtinId="6"/>
    <cellStyle name="百分比" xfId="24" builtinId="5"/>
  </cellStyles>
  <dxfs count="49">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theme="0"/>
      </font>
      <fill>
        <patternFill>
          <bgColor theme="0"/>
        </patternFill>
      </fill>
      <border>
        <left/>
        <right/>
        <top/>
        <bottom/>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b/>
        <i val="0"/>
        <condense val="0"/>
        <extend val="0"/>
        <color indexed="12"/>
      </font>
    </dxf>
    <dxf>
      <font>
        <b/>
        <i val="0"/>
        <strike/>
        <condense val="0"/>
        <extend val="0"/>
        <color indexed="9"/>
      </font>
      <fill>
        <patternFill>
          <bgColor indexed="10"/>
        </patternFill>
      </fill>
    </dxf>
    <dxf>
      <font>
        <condense val="0"/>
        <extend val="0"/>
        <color indexed="9"/>
      </font>
      <fill>
        <patternFill>
          <bgColor indexed="9"/>
        </patternFill>
      </fill>
      <border>
        <left/>
        <right/>
        <top/>
        <bottom/>
      </border>
    </dxf>
    <dxf>
      <fill>
        <patternFill>
          <bgColor indexed="10"/>
        </patternFill>
      </fill>
    </dxf>
    <dxf>
      <font>
        <b/>
        <i val="0"/>
        <strike/>
        <condense val="0"/>
        <extend val="0"/>
        <color indexed="9"/>
      </font>
      <fill>
        <patternFill>
          <bgColor indexed="10"/>
        </patternFill>
      </fill>
    </dxf>
    <dxf>
      <fill>
        <patternFill>
          <bgColor indexed="10"/>
        </patternFill>
      </fill>
    </dxf>
    <dxf>
      <font>
        <b/>
        <i val="0"/>
        <condense val="0"/>
        <extend val="0"/>
        <color indexed="9"/>
      </font>
      <fill>
        <patternFill>
          <bgColor indexed="53"/>
        </patternFill>
      </fill>
      <border>
        <left style="thin">
          <color indexed="9"/>
        </left>
        <bottom style="thin">
          <color indexed="64"/>
        </bottom>
      </border>
    </dxf>
    <dxf>
      <font>
        <strike val="0"/>
        <color theme="0"/>
      </font>
      <fill>
        <patternFill>
          <bgColor theme="0"/>
        </patternFill>
      </fill>
      <border>
        <left/>
        <right/>
        <top/>
        <bottom/>
        <vertical/>
        <horizontal/>
      </border>
    </dxf>
    <dxf>
      <fill>
        <patternFill>
          <bgColor indexed="10"/>
        </patternFill>
      </fill>
    </dxf>
    <dxf>
      <font>
        <b/>
        <i val="0"/>
        <strike/>
        <condense val="0"/>
        <extend val="0"/>
        <color indexed="9"/>
      </font>
      <fill>
        <patternFill>
          <bgColor indexed="10"/>
        </patternFill>
      </fill>
    </dxf>
    <dxf>
      <font>
        <b/>
        <i val="0"/>
        <strike/>
        <color theme="0"/>
      </font>
      <fill>
        <patternFill>
          <bgColor rgb="FFFF0000"/>
        </patternFill>
      </fill>
    </dxf>
    <dxf>
      <font>
        <color theme="0"/>
      </font>
      <fill>
        <patternFill>
          <bgColor theme="0"/>
        </patternFill>
      </fill>
      <border>
        <left/>
        <right/>
        <top/>
        <bottom/>
        <vertical/>
        <horizontal/>
      </border>
    </dxf>
    <dxf>
      <font>
        <color theme="0"/>
      </font>
      <fill>
        <patternFill>
          <fgColor indexed="64"/>
          <bgColor theme="0"/>
        </patternFill>
      </fill>
      <border>
        <left/>
        <right/>
      </border>
    </dxf>
    <dxf>
      <font>
        <condense val="0"/>
        <extend val="0"/>
        <color indexed="9"/>
      </font>
      <fill>
        <patternFill>
          <bgColor indexed="9"/>
        </patternFill>
      </fill>
      <border>
        <left/>
        <right/>
        <top/>
        <bottom/>
      </border>
    </dxf>
    <dxf>
      <fill>
        <patternFill>
          <bgColor indexed="10"/>
        </patternFill>
      </fill>
    </dxf>
    <dxf>
      <font>
        <b/>
        <i val="0"/>
        <strike/>
        <condense val="0"/>
        <extend val="0"/>
        <color indexed="9"/>
      </font>
      <fill>
        <patternFill>
          <bgColor indexed="10"/>
        </patternFill>
      </fill>
    </dxf>
    <dxf>
      <font>
        <condense val="0"/>
        <extend val="0"/>
        <color auto="1"/>
      </font>
      <fill>
        <patternFill>
          <bgColor indexed="10"/>
        </patternFill>
      </fill>
    </dxf>
    <dxf>
      <fill>
        <patternFill>
          <bgColor indexed="10"/>
        </patternFill>
      </fill>
    </dxf>
    <dxf>
      <font>
        <b/>
        <i val="0"/>
        <strike/>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ont>
        <b/>
        <i val="0"/>
        <strike/>
        <condense val="0"/>
        <extend val="0"/>
        <u val="none"/>
        <color indexed="9"/>
      </font>
      <fill>
        <patternFill>
          <bgColor indexed="10"/>
        </patternFill>
      </fill>
    </dxf>
    <dxf>
      <font>
        <condense val="0"/>
        <extend val="0"/>
        <color indexed="12"/>
      </font>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C7D7D8"/>
      <rgbColor rgb="004DFFF9"/>
      <rgbColor rgb="0088A9D8"/>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AEEF3"/>
      <color rgb="FFCCEC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W339"/>
  <sheetViews>
    <sheetView workbookViewId="0"/>
  </sheetViews>
  <sheetFormatPr baseColWidth="10" defaultColWidth="9.3984375" defaultRowHeight="15"/>
  <cols>
    <col min="1" max="1" width="9.3984375" style="386" customWidth="1"/>
    <col min="2" max="2" width="13.19921875" style="386" customWidth="1"/>
    <col min="3" max="3" width="9.3984375" style="386" customWidth="1"/>
    <col min="4" max="4" width="13.3984375" style="386" customWidth="1"/>
    <col min="5" max="5" width="11.19921875" style="386" customWidth="1"/>
    <col min="6" max="9" width="9.3984375" style="386" customWidth="1"/>
    <col min="10" max="10" width="2.19921875" style="386" customWidth="1"/>
    <col min="11" max="11" width="18.3984375" style="386" customWidth="1"/>
    <col min="12" max="12" width="24.59765625" style="386" customWidth="1"/>
    <col min="13" max="13" width="9.3984375" style="386" customWidth="1"/>
    <col min="14" max="14" width="13.19921875" style="386" customWidth="1"/>
    <col min="15" max="15" width="9.3984375" style="386" customWidth="1"/>
    <col min="16" max="16" width="10" style="386" customWidth="1"/>
    <col min="17" max="26" width="9.3984375" style="386" customWidth="1"/>
    <col min="27" max="16384" width="9.3984375" style="386"/>
  </cols>
  <sheetData>
    <row r="1" spans="1:23" ht="16">
      <c r="A1" s="382"/>
      <c r="B1" s="383" t="str">
        <f>OP!$C$56</f>
        <v>CLX20</v>
      </c>
      <c r="C1" s="384" t="s">
        <v>513</v>
      </c>
      <c r="D1" s="383" t="str">
        <f>IF(OP!$E$16=1,"足歲",IF(OP!$E$16=2,"保險年齡","錯誤"))</f>
        <v>足歲</v>
      </c>
      <c r="E1" s="384" t="s">
        <v>513</v>
      </c>
      <c r="F1" s="382"/>
      <c r="G1" s="382"/>
      <c r="H1" s="382"/>
      <c r="I1" s="382"/>
      <c r="J1" s="385"/>
      <c r="K1" s="385"/>
      <c r="Q1" s="386">
        <v>6</v>
      </c>
      <c r="R1" s="386">
        <v>7</v>
      </c>
      <c r="S1" s="386">
        <v>8</v>
      </c>
      <c r="T1" s="386">
        <v>9</v>
      </c>
      <c r="U1" s="386">
        <v>10</v>
      </c>
      <c r="V1" s="386">
        <v>11</v>
      </c>
      <c r="W1" s="386">
        <v>12</v>
      </c>
    </row>
    <row r="2" spans="1:23" ht="16">
      <c r="A2" s="382"/>
      <c r="B2" s="382"/>
      <c r="C2" s="384"/>
      <c r="D2" s="382"/>
      <c r="E2" s="384"/>
      <c r="F2" s="382"/>
      <c r="G2" s="382"/>
      <c r="H2" s="382"/>
      <c r="I2" s="382"/>
      <c r="J2" s="385"/>
      <c r="K2" s="385"/>
      <c r="L2" s="485" t="s">
        <v>514</v>
      </c>
      <c r="M2" s="485"/>
      <c r="N2" s="485"/>
      <c r="O2" s="387" t="s">
        <v>515</v>
      </c>
      <c r="P2" s="387"/>
      <c r="Q2" s="387">
        <v>109</v>
      </c>
      <c r="R2" s="387"/>
      <c r="S2" s="387"/>
      <c r="T2" s="387"/>
      <c r="U2" s="387"/>
      <c r="V2" s="387"/>
      <c r="W2" s="387"/>
    </row>
    <row r="3" spans="1:23" ht="16">
      <c r="A3" s="382"/>
      <c r="B3" s="382"/>
      <c r="C3" s="388" t="s">
        <v>516</v>
      </c>
      <c r="D3" s="389">
        <v>1</v>
      </c>
      <c r="E3" s="389">
        <v>2</v>
      </c>
      <c r="F3" s="389">
        <v>3</v>
      </c>
      <c r="G3" s="389">
        <v>1</v>
      </c>
      <c r="H3" s="389">
        <v>2</v>
      </c>
      <c r="I3" s="389">
        <v>3</v>
      </c>
      <c r="J3" s="382"/>
      <c r="K3" s="390" t="s">
        <v>517</v>
      </c>
      <c r="L3" s="391" t="s">
        <v>24</v>
      </c>
      <c r="M3" s="390" t="s">
        <v>518</v>
      </c>
      <c r="N3" s="390" t="s">
        <v>519</v>
      </c>
      <c r="O3" s="392" t="s">
        <v>520</v>
      </c>
      <c r="P3" s="392" t="s">
        <v>521</v>
      </c>
      <c r="Q3" s="392" t="s">
        <v>17</v>
      </c>
      <c r="R3" s="392" t="s">
        <v>16</v>
      </c>
      <c r="S3" s="392" t="s">
        <v>522</v>
      </c>
      <c r="T3" s="392" t="s">
        <v>523</v>
      </c>
      <c r="U3" s="392" t="s">
        <v>524</v>
      </c>
      <c r="V3" s="392" t="s">
        <v>525</v>
      </c>
      <c r="W3" s="392" t="s">
        <v>526</v>
      </c>
    </row>
    <row r="4" spans="1:23" ht="17">
      <c r="A4" s="382"/>
      <c r="B4" s="385"/>
      <c r="C4" s="393" t="s">
        <v>527</v>
      </c>
      <c r="D4" s="394">
        <v>1</v>
      </c>
      <c r="E4" s="394">
        <v>1</v>
      </c>
      <c r="F4" s="394">
        <v>1</v>
      </c>
      <c r="G4" s="394">
        <v>2</v>
      </c>
      <c r="H4" s="394">
        <v>2</v>
      </c>
      <c r="I4" s="394">
        <v>2</v>
      </c>
      <c r="J4" s="382"/>
      <c r="K4" s="395" t="str">
        <f>IF($D$1="足歲","15足歲","15")</f>
        <v>15足歲</v>
      </c>
      <c r="L4" s="396" t="str">
        <f t="shared" ref="L4:L67" si="0">IF(P4&lt;&gt;$B$1,"",P4&amp;Q4&amp;R4&amp;V4)</f>
        <v/>
      </c>
      <c r="M4" s="396" t="str">
        <f>IF(L4="","-",IF(ISERROR($R4*1),LEFT($R4,2)*1,$R4*1))</f>
        <v>-</v>
      </c>
      <c r="N4" s="397" t="str">
        <f>IF(L4="","",V4*1)</f>
        <v/>
      </c>
      <c r="O4" s="398"/>
      <c r="P4"/>
      <c r="Q4"/>
      <c r="R4"/>
      <c r="S4"/>
      <c r="T4"/>
      <c r="U4"/>
      <c r="V4"/>
      <c r="W4" s="413"/>
    </row>
    <row r="5" spans="1:23" ht="16">
      <c r="A5" s="382"/>
      <c r="B5" s="399" t="s">
        <v>528</v>
      </c>
      <c r="C5" s="400">
        <v>12</v>
      </c>
      <c r="D5" s="396" t="e">
        <f t="shared" ref="D5:I5" si="1">IF(SMALL($M:$M,D$3)=15,$K$4,SMALL($M:$M,D$3))</f>
        <v>#NUM!</v>
      </c>
      <c r="E5" s="396" t="e">
        <f t="shared" si="1"/>
        <v>#NUM!</v>
      </c>
      <c r="F5" s="396" t="e">
        <f t="shared" si="1"/>
        <v>#NUM!</v>
      </c>
      <c r="G5" s="396" t="e">
        <f t="shared" si="1"/>
        <v>#NUM!</v>
      </c>
      <c r="H5" s="396" t="e">
        <f t="shared" si="1"/>
        <v>#NUM!</v>
      </c>
      <c r="I5" s="396" t="e">
        <f t="shared" si="1"/>
        <v>#NUM!</v>
      </c>
      <c r="J5" s="382"/>
      <c r="K5" s="396"/>
      <c r="L5" s="394" t="str">
        <f t="shared" si="0"/>
        <v/>
      </c>
      <c r="M5" s="394" t="str">
        <f>IF(OR(L5="",COUNTIF($M$4:M4,IF(ISERROR($R5*1),LEFT($R5,2)*1,$R5*1))&gt;=1),"-",IF(ISERROR($R5*1),LEFT($R5,2)*1,$R5*1))</f>
        <v>-</v>
      </c>
      <c r="N5" s="394" t="str">
        <f>IF(OR(L5="",COUNTIF($N$4:N4,V5*1)&gt;=1),"-",V5*1)</f>
        <v>-</v>
      </c>
      <c r="O5" s="398"/>
      <c r="P5"/>
      <c r="Q5"/>
      <c r="R5"/>
      <c r="S5"/>
      <c r="T5"/>
      <c r="U5"/>
      <c r="V5"/>
      <c r="W5" s="413"/>
    </row>
    <row r="6" spans="1:23" ht="16">
      <c r="A6" s="382"/>
      <c r="B6" s="401" t="s">
        <v>529</v>
      </c>
      <c r="C6" s="402" t="s">
        <v>530</v>
      </c>
      <c r="D6" s="403" t="str">
        <f t="shared" ref="D6:I6" si="2">IF(OR(ISERROR($D5)),"",IF(N(D$5)=0,D$5&amp;"歲"&amp;IF(D$4=1,"男性",IF(D$4=2,"女性","")),D$5&amp;"歲"&amp;IF(D$4=1,"男性",IF(D$4=2,"女性",""))))</f>
        <v/>
      </c>
      <c r="E6" s="403" t="str">
        <f t="shared" si="2"/>
        <v/>
      </c>
      <c r="F6" s="403" t="str">
        <f t="shared" si="2"/>
        <v/>
      </c>
      <c r="G6" s="403" t="str">
        <f t="shared" si="2"/>
        <v/>
      </c>
      <c r="H6" s="403" t="str">
        <f t="shared" si="2"/>
        <v/>
      </c>
      <c r="I6" s="403" t="str">
        <f t="shared" si="2"/>
        <v/>
      </c>
      <c r="J6" s="382"/>
      <c r="K6" s="396"/>
      <c r="L6" s="394" t="str">
        <f t="shared" si="0"/>
        <v/>
      </c>
      <c r="M6" s="394" t="str">
        <f>IF(OR(L6="",COUNTIF($M$4:M5,IF(ISERROR($R6*1),LEFT($R6,2)*1,$R6*1))&gt;=1),"-",IF(ISERROR($R6*1),LEFT($R6,2)*1,$R6*1))</f>
        <v>-</v>
      </c>
      <c r="N6" s="394" t="str">
        <f>IF(OR(L6="",COUNTIF($N$4:N5,V6*1)&gt;=1),"-",V6*1)</f>
        <v>-</v>
      </c>
      <c r="O6" s="398"/>
      <c r="P6"/>
      <c r="Q6"/>
      <c r="R6"/>
      <c r="S6"/>
      <c r="T6"/>
      <c r="U6"/>
      <c r="V6"/>
      <c r="W6" s="413"/>
    </row>
    <row r="7" spans="1:23" ht="16">
      <c r="A7" s="382"/>
      <c r="B7" s="394">
        <v>1</v>
      </c>
      <c r="C7" s="403" t="str">
        <f t="shared" ref="C7:C14" si="3">IF(ISERROR(SMALL($N:$N,$B7)),"",SMALL($N:$N,$B7))</f>
        <v/>
      </c>
      <c r="D7" s="404" t="str">
        <f t="shared" ref="D7:I14" si="4">IF(ISERROR(VLOOKUP($B$1&amp;D$4&amp;D$5&amp;$C7,$L:$W,$C$5,0)),"",VLOOKUP($B$1&amp;D$4&amp;D$5&amp;$C7,$L:$W,$C$5,0))</f>
        <v/>
      </c>
      <c r="E7" s="404" t="str">
        <f t="shared" si="4"/>
        <v/>
      </c>
      <c r="F7" s="404" t="str">
        <f t="shared" si="4"/>
        <v/>
      </c>
      <c r="G7" s="404" t="str">
        <f t="shared" si="4"/>
        <v/>
      </c>
      <c r="H7" s="404" t="str">
        <f t="shared" si="4"/>
        <v/>
      </c>
      <c r="I7" s="404" t="str">
        <f t="shared" si="4"/>
        <v/>
      </c>
      <c r="J7" s="382"/>
      <c r="K7" s="382"/>
      <c r="L7" s="394" t="str">
        <f t="shared" si="0"/>
        <v/>
      </c>
      <c r="M7" s="394" t="str">
        <f>IF(OR(L7="",COUNTIF($M$4:M6,IF(ISERROR($R7*1),LEFT($R7,2)*1,$R7*1))&gt;=1),"-",IF(ISERROR($R7*1),LEFT($R7,2)*1,$R7*1))</f>
        <v>-</v>
      </c>
      <c r="N7" s="394" t="str">
        <f>IF(OR(L7="",COUNTIF($N$4:N6,V7*1)&gt;=1),"-",V7*1)</f>
        <v>-</v>
      </c>
      <c r="O7" s="398"/>
      <c r="P7"/>
      <c r="Q7"/>
      <c r="R7"/>
      <c r="S7"/>
      <c r="T7"/>
      <c r="U7"/>
      <c r="V7"/>
      <c r="W7" s="413"/>
    </row>
    <row r="8" spans="1:23" ht="16">
      <c r="A8" s="382"/>
      <c r="B8" s="394">
        <v>2</v>
      </c>
      <c r="C8" s="403" t="str">
        <f t="shared" si="3"/>
        <v/>
      </c>
      <c r="D8" s="404" t="str">
        <f t="shared" si="4"/>
        <v/>
      </c>
      <c r="E8" s="404" t="str">
        <f t="shared" si="4"/>
        <v/>
      </c>
      <c r="F8" s="404" t="str">
        <f t="shared" si="4"/>
        <v/>
      </c>
      <c r="G8" s="404" t="str">
        <f t="shared" si="4"/>
        <v/>
      </c>
      <c r="H8" s="404" t="str">
        <f t="shared" si="4"/>
        <v/>
      </c>
      <c r="I8" s="404" t="str">
        <f t="shared" si="4"/>
        <v/>
      </c>
      <c r="J8" s="382"/>
      <c r="K8" s="382"/>
      <c r="L8" s="394" t="str">
        <f t="shared" si="0"/>
        <v/>
      </c>
      <c r="M8" s="394" t="str">
        <f>IF(OR(L8="",COUNTIF($M$4:M7,IF(ISERROR($R8*1),LEFT($R8,2)*1,$R8*1))&gt;=1),"-",IF(ISERROR($R8*1),LEFT($R8,2)*1,$R8*1))</f>
        <v>-</v>
      </c>
      <c r="N8" s="394" t="str">
        <f>IF(OR(L8="",COUNTIF($N$4:N7,V8*1)&gt;=1),"-",V8*1)</f>
        <v>-</v>
      </c>
      <c r="O8" s="398"/>
      <c r="P8"/>
      <c r="Q8"/>
      <c r="R8"/>
      <c r="S8"/>
      <c r="T8"/>
      <c r="U8"/>
      <c r="V8"/>
      <c r="W8" s="413"/>
    </row>
    <row r="9" spans="1:23" ht="16">
      <c r="A9" s="382"/>
      <c r="B9" s="394">
        <v>3</v>
      </c>
      <c r="C9" s="403" t="str">
        <f t="shared" si="3"/>
        <v/>
      </c>
      <c r="D9" s="404" t="str">
        <f t="shared" si="4"/>
        <v/>
      </c>
      <c r="E9" s="404" t="str">
        <f t="shared" si="4"/>
        <v/>
      </c>
      <c r="F9" s="404" t="str">
        <f t="shared" si="4"/>
        <v/>
      </c>
      <c r="G9" s="404" t="str">
        <f t="shared" si="4"/>
        <v/>
      </c>
      <c r="H9" s="404" t="str">
        <f t="shared" si="4"/>
        <v/>
      </c>
      <c r="I9" s="404" t="str">
        <f t="shared" si="4"/>
        <v/>
      </c>
      <c r="J9" s="382"/>
      <c r="K9" s="382"/>
      <c r="L9" s="394" t="str">
        <f t="shared" si="0"/>
        <v/>
      </c>
      <c r="M9" s="394" t="str">
        <f>IF(OR(L9="",COUNTIF($M$4:M8,IF(ISERROR($R9*1),LEFT($R9,2)*1,$R9*1))&gt;=1),"-",IF(ISERROR($R9*1),LEFT($R9,2)*1,$R9*1))</f>
        <v>-</v>
      </c>
      <c r="N9" s="394" t="str">
        <f>IF(OR(L9="",COUNTIF($N$4:N8,V9*1)&gt;=1),"-",V9*1)</f>
        <v>-</v>
      </c>
      <c r="O9" s="398"/>
      <c r="P9"/>
      <c r="Q9"/>
      <c r="R9"/>
      <c r="S9"/>
      <c r="T9"/>
      <c r="U9"/>
      <c r="V9"/>
      <c r="W9" s="413"/>
    </row>
    <row r="10" spans="1:23" ht="16">
      <c r="A10" s="405"/>
      <c r="B10" s="394">
        <v>4</v>
      </c>
      <c r="C10" s="403" t="str">
        <f t="shared" si="3"/>
        <v/>
      </c>
      <c r="D10" s="404" t="str">
        <f t="shared" si="4"/>
        <v/>
      </c>
      <c r="E10" s="404" t="str">
        <f t="shared" si="4"/>
        <v/>
      </c>
      <c r="F10" s="404" t="str">
        <f t="shared" si="4"/>
        <v/>
      </c>
      <c r="G10" s="404" t="str">
        <f t="shared" si="4"/>
        <v/>
      </c>
      <c r="H10" s="404" t="str">
        <f t="shared" si="4"/>
        <v/>
      </c>
      <c r="I10" s="404" t="str">
        <f t="shared" si="4"/>
        <v/>
      </c>
      <c r="J10" s="382"/>
      <c r="K10" s="382"/>
      <c r="L10" s="394" t="str">
        <f t="shared" si="0"/>
        <v/>
      </c>
      <c r="M10" s="394" t="str">
        <f>IF(OR(L10="",COUNTIF($M$4:M9,IF(ISERROR($R10*1),LEFT($R10,2)*1,$R10*1))&gt;=1),"-",IF(ISERROR($R10*1),LEFT($R10,2)*1,$R10*1))</f>
        <v>-</v>
      </c>
      <c r="N10" s="394" t="str">
        <f>IF(OR(L10="",COUNTIF($N$4:N9,V10*1)&gt;=1),"-",V10*1)</f>
        <v>-</v>
      </c>
      <c r="O10" s="398"/>
      <c r="P10"/>
      <c r="Q10"/>
      <c r="R10"/>
      <c r="S10"/>
      <c r="T10"/>
      <c r="U10"/>
      <c r="V10"/>
      <c r="W10" s="413"/>
    </row>
    <row r="11" spans="1:23" ht="16">
      <c r="A11" s="405"/>
      <c r="B11" s="394">
        <v>5</v>
      </c>
      <c r="C11" s="403" t="str">
        <f t="shared" si="3"/>
        <v/>
      </c>
      <c r="D11" s="404" t="str">
        <f t="shared" si="4"/>
        <v/>
      </c>
      <c r="E11" s="404" t="str">
        <f t="shared" si="4"/>
        <v/>
      </c>
      <c r="F11" s="404" t="str">
        <f t="shared" si="4"/>
        <v/>
      </c>
      <c r="G11" s="404" t="str">
        <f t="shared" si="4"/>
        <v/>
      </c>
      <c r="H11" s="404" t="str">
        <f t="shared" si="4"/>
        <v/>
      </c>
      <c r="I11" s="404" t="str">
        <f t="shared" si="4"/>
        <v/>
      </c>
      <c r="J11" s="382"/>
      <c r="K11" s="382"/>
      <c r="L11" s="394" t="str">
        <f t="shared" si="0"/>
        <v/>
      </c>
      <c r="M11" s="394" t="str">
        <f>IF(OR(L11="",COUNTIF($M$4:M10,IF(ISERROR($R11*1),LEFT($R11,2)*1,$R11*1))&gt;=1),"-",IF(ISERROR($R11*1),LEFT($R11,2)*1,$R11*1))</f>
        <v>-</v>
      </c>
      <c r="N11" s="394" t="str">
        <f>IF(OR(L11="",COUNTIF($N$4:N10,V11*1)&gt;=1),"-",V11*1)</f>
        <v>-</v>
      </c>
      <c r="O11" s="398"/>
      <c r="P11"/>
      <c r="Q11"/>
      <c r="R11"/>
      <c r="S11"/>
      <c r="T11"/>
      <c r="U11"/>
      <c r="V11"/>
      <c r="W11" s="413"/>
    </row>
    <row r="12" spans="1:23" ht="16">
      <c r="A12" s="405"/>
      <c r="B12" s="394">
        <v>6</v>
      </c>
      <c r="C12" s="403" t="str">
        <f t="shared" si="3"/>
        <v/>
      </c>
      <c r="D12" s="404" t="str">
        <f t="shared" si="4"/>
        <v/>
      </c>
      <c r="E12" s="404" t="str">
        <f t="shared" si="4"/>
        <v/>
      </c>
      <c r="F12" s="404" t="str">
        <f t="shared" si="4"/>
        <v/>
      </c>
      <c r="G12" s="404" t="str">
        <f t="shared" si="4"/>
        <v/>
      </c>
      <c r="H12" s="404" t="str">
        <f t="shared" si="4"/>
        <v/>
      </c>
      <c r="I12" s="404" t="str">
        <f t="shared" si="4"/>
        <v/>
      </c>
      <c r="J12" s="382"/>
      <c r="K12" s="382"/>
      <c r="L12" s="394" t="str">
        <f t="shared" si="0"/>
        <v/>
      </c>
      <c r="M12" s="394" t="str">
        <f>IF(OR(L12="",COUNTIF($M$4:M11,IF(ISERROR($R12*1),LEFT($R12,2)*1,$R12*1))&gt;=1),"-",IF(ISERROR($R12*1),LEFT($R12,2)*1,$R12*1))</f>
        <v>-</v>
      </c>
      <c r="N12" s="394" t="str">
        <f>IF(OR(L12="",COUNTIF($N$4:N11,V12*1)&gt;=1),"-",V12*1)</f>
        <v>-</v>
      </c>
      <c r="O12" s="398"/>
      <c r="P12"/>
      <c r="Q12"/>
      <c r="R12"/>
      <c r="S12"/>
      <c r="T12"/>
      <c r="U12"/>
      <c r="V12"/>
      <c r="W12" s="413"/>
    </row>
    <row r="13" spans="1:23" ht="16">
      <c r="A13" s="405"/>
      <c r="B13" s="394">
        <v>7</v>
      </c>
      <c r="C13" s="403" t="str">
        <f t="shared" si="3"/>
        <v/>
      </c>
      <c r="D13" s="404" t="str">
        <f t="shared" si="4"/>
        <v/>
      </c>
      <c r="E13" s="404" t="str">
        <f t="shared" si="4"/>
        <v/>
      </c>
      <c r="F13" s="404" t="str">
        <f t="shared" si="4"/>
        <v/>
      </c>
      <c r="G13" s="404" t="str">
        <f t="shared" si="4"/>
        <v/>
      </c>
      <c r="H13" s="404" t="str">
        <f t="shared" si="4"/>
        <v/>
      </c>
      <c r="I13" s="404" t="str">
        <f t="shared" si="4"/>
        <v/>
      </c>
      <c r="J13" s="382"/>
      <c r="K13" s="382"/>
      <c r="L13" s="394" t="str">
        <f t="shared" si="0"/>
        <v/>
      </c>
      <c r="M13" s="394" t="str">
        <f>IF(OR(L13="",COUNTIF($M$4:M12,IF(ISERROR($R13*1),LEFT($R13,2)*1,$R13*1))&gt;=1),"-",IF(ISERROR($R13*1),LEFT($R13,2)*1,$R13*1))</f>
        <v>-</v>
      </c>
      <c r="N13" s="394" t="str">
        <f>IF(OR(L13="",COUNTIF($N$4:N12,V13*1)&gt;=1),"-",V13*1)</f>
        <v>-</v>
      </c>
      <c r="O13" s="398"/>
      <c r="P13"/>
      <c r="Q13"/>
      <c r="R13"/>
      <c r="S13"/>
      <c r="T13"/>
      <c r="U13"/>
      <c r="V13"/>
      <c r="W13" s="413"/>
    </row>
    <row r="14" spans="1:23" ht="16">
      <c r="A14" s="406"/>
      <c r="B14" s="394">
        <v>8</v>
      </c>
      <c r="C14" s="403" t="str">
        <f t="shared" si="3"/>
        <v/>
      </c>
      <c r="D14" s="404" t="str">
        <f t="shared" si="4"/>
        <v/>
      </c>
      <c r="E14" s="404" t="str">
        <f t="shared" si="4"/>
        <v/>
      </c>
      <c r="F14" s="404" t="str">
        <f t="shared" si="4"/>
        <v/>
      </c>
      <c r="G14" s="404" t="str">
        <f t="shared" si="4"/>
        <v/>
      </c>
      <c r="H14" s="404" t="str">
        <f t="shared" si="4"/>
        <v/>
      </c>
      <c r="I14" s="404" t="str">
        <f t="shared" si="4"/>
        <v/>
      </c>
      <c r="J14" s="382"/>
      <c r="K14" s="382"/>
      <c r="L14" s="394" t="str">
        <f t="shared" si="0"/>
        <v/>
      </c>
      <c r="M14" s="394" t="str">
        <f>IF(OR(L14="",COUNTIF($M$4:M13,IF(ISERROR($R14*1),LEFT($R14,2)*1,$R14*1))&gt;=1),"-",IF(ISERROR($R14*1),LEFT($R14,2)*1,$R14*1))</f>
        <v>-</v>
      </c>
      <c r="N14" s="394" t="str">
        <f>IF(OR(L14="",COUNTIF($N$4:N13,V14*1)&gt;=1),"-",V14*1)</f>
        <v>-</v>
      </c>
      <c r="O14" s="398"/>
      <c r="P14"/>
      <c r="Q14"/>
      <c r="R14"/>
      <c r="S14"/>
      <c r="T14"/>
      <c r="U14"/>
      <c r="V14"/>
      <c r="W14" s="413"/>
    </row>
    <row r="15" spans="1:23">
      <c r="A15" s="407"/>
      <c r="B15" s="382"/>
      <c r="C15" s="384" t="s">
        <v>531</v>
      </c>
      <c r="D15" s="382"/>
      <c r="E15" s="382"/>
      <c r="F15" s="382"/>
      <c r="G15" s="405"/>
      <c r="H15" s="408"/>
      <c r="I15" s="408"/>
      <c r="J15" s="408"/>
      <c r="K15" s="408"/>
      <c r="L15" s="394" t="str">
        <f t="shared" si="0"/>
        <v/>
      </c>
      <c r="M15" s="394" t="str">
        <f>IF(OR(L15="",COUNTIF($M$4:M14,IF(ISERROR($R15*1),LEFT($R15,2)*1,$R15*1))&gt;=1),"-",IF(ISERROR($R15*1),LEFT($R15,2)*1,$R15*1))</f>
        <v>-</v>
      </c>
      <c r="N15" s="394" t="str">
        <f>IF(OR(L15="",COUNTIF($N$4:N14,V15*1)&gt;=1),"-",V15*1)</f>
        <v>-</v>
      </c>
      <c r="O15" s="398"/>
      <c r="P15"/>
      <c r="Q15"/>
      <c r="R15"/>
      <c r="S15"/>
      <c r="T15"/>
      <c r="U15"/>
      <c r="V15"/>
      <c r="W15" s="413"/>
    </row>
    <row r="16" spans="1:23">
      <c r="A16" s="407"/>
      <c r="B16" s="382"/>
      <c r="C16" s="382"/>
      <c r="D16" s="382"/>
      <c r="E16" s="382"/>
      <c r="F16" s="382"/>
      <c r="G16" s="405"/>
      <c r="H16" s="408"/>
      <c r="I16" s="408"/>
      <c r="J16" s="408"/>
      <c r="K16" s="408"/>
      <c r="L16" s="394" t="str">
        <f t="shared" si="0"/>
        <v/>
      </c>
      <c r="M16" s="394" t="str">
        <f>IF(OR(L16="",COUNTIF($M$4:M15,IF(ISERROR($R16*1),LEFT($R16,2)*1,$R16*1))&gt;=1),"-",IF(ISERROR($R16*1),LEFT($R16,2)*1,$R16*1))</f>
        <v>-</v>
      </c>
      <c r="N16" s="394" t="str">
        <f>IF(OR(L16="",COUNTIF($N$4:N15,V16*1)&gt;=1),"-",V16*1)</f>
        <v>-</v>
      </c>
      <c r="O16" s="398"/>
      <c r="P16"/>
      <c r="Q16"/>
      <c r="R16"/>
      <c r="S16"/>
      <c r="T16"/>
      <c r="U16"/>
      <c r="V16"/>
      <c r="W16" s="413"/>
    </row>
    <row r="17" spans="1:23">
      <c r="A17" s="407"/>
      <c r="B17" s="382"/>
      <c r="L17" s="394" t="str">
        <f t="shared" si="0"/>
        <v/>
      </c>
      <c r="M17" s="394" t="str">
        <f>IF(OR(L17="",COUNTIF($M$4:M16,IF(ISERROR($R17*1),LEFT($R17,2)*1,$R17*1))&gt;=1),"-",IF(ISERROR($R17*1),LEFT($R17,2)*1,$R17*1))</f>
        <v>-</v>
      </c>
      <c r="N17" s="394" t="str">
        <f>IF(OR(L17="",COUNTIF($N$4:N16,V17*1)&gt;=1),"-",V17*1)</f>
        <v>-</v>
      </c>
      <c r="O17" s="398"/>
      <c r="P17"/>
      <c r="Q17"/>
      <c r="R17"/>
      <c r="S17"/>
      <c r="T17"/>
      <c r="U17"/>
      <c r="V17"/>
      <c r="W17" s="413"/>
    </row>
    <row r="18" spans="1:23">
      <c r="A18" s="407"/>
      <c r="B18" s="382"/>
      <c r="L18" s="394" t="str">
        <f t="shared" si="0"/>
        <v/>
      </c>
      <c r="M18" s="394" t="str">
        <f>IF(OR(L18="",COUNTIF($M$4:M17,IF(ISERROR($R18*1),LEFT($R18,2)*1,$R18*1))&gt;=1),"-",IF(ISERROR($R18*1),LEFT($R18,2)*1,$R18*1))</f>
        <v>-</v>
      </c>
      <c r="N18" s="394" t="str">
        <f>IF(OR(L18="",COUNTIF($N$4:N17,V18*1)&gt;=1),"-",V18*1)</f>
        <v>-</v>
      </c>
      <c r="O18" s="398"/>
      <c r="P18"/>
      <c r="Q18"/>
      <c r="R18"/>
      <c r="S18"/>
      <c r="T18"/>
      <c r="U18"/>
      <c r="V18"/>
      <c r="W18" s="413"/>
    </row>
    <row r="19" spans="1:23">
      <c r="A19" s="407"/>
      <c r="B19" s="382"/>
      <c r="L19" s="394" t="str">
        <f t="shared" si="0"/>
        <v/>
      </c>
      <c r="M19" s="394" t="str">
        <f>IF(OR(L19="",COUNTIF($M$4:M18,IF(ISERROR($R19*1),LEFT($R19,2)*1,$R19*1))&gt;=1),"-",IF(ISERROR($R19*1),LEFT($R19,2)*1,$R19*1))</f>
        <v>-</v>
      </c>
      <c r="N19" s="394" t="str">
        <f>IF(OR(L19="",COUNTIF($N$4:N18,V19*1)&gt;=1),"-",V19*1)</f>
        <v>-</v>
      </c>
      <c r="O19" s="398"/>
      <c r="P19"/>
      <c r="Q19"/>
      <c r="R19"/>
      <c r="S19"/>
      <c r="T19"/>
      <c r="U19"/>
      <c r="V19"/>
      <c r="W19" s="413"/>
    </row>
    <row r="20" spans="1:23">
      <c r="A20" s="407"/>
      <c r="B20" s="382"/>
      <c r="L20" s="394" t="str">
        <f t="shared" si="0"/>
        <v/>
      </c>
      <c r="M20" s="394" t="str">
        <f>IF(OR(L20="",COUNTIF($M$4:M19,IF(ISERROR($R20*1),LEFT($R20,2)*1,$R20*1))&gt;=1),"-",IF(ISERROR($R20*1),LEFT($R20,2)*1,$R20*1))</f>
        <v>-</v>
      </c>
      <c r="N20" s="394" t="str">
        <f>IF(OR(L20="",COUNTIF($N$4:N19,V20*1)&gt;=1),"-",V20*1)</f>
        <v>-</v>
      </c>
      <c r="O20" s="398"/>
      <c r="P20"/>
      <c r="Q20"/>
      <c r="R20"/>
      <c r="S20"/>
      <c r="T20"/>
      <c r="U20"/>
      <c r="V20"/>
      <c r="W20" s="413"/>
    </row>
    <row r="21" spans="1:23">
      <c r="A21" s="382"/>
      <c r="B21" s="382"/>
      <c r="L21" s="394" t="str">
        <f t="shared" si="0"/>
        <v/>
      </c>
      <c r="M21" s="394" t="str">
        <f>IF(OR(L21="",COUNTIF($M$4:M20,IF(ISERROR($R21*1),LEFT($R21,2)*1,$R21*1))&gt;=1),"-",IF(ISERROR($R21*1),LEFT($R21,2)*1,$R21*1))</f>
        <v>-</v>
      </c>
      <c r="N21" s="394" t="str">
        <f>IF(OR(L21="",COUNTIF($N$4:N20,V21*1)&gt;=1),"-",V21*1)</f>
        <v>-</v>
      </c>
      <c r="O21" s="398"/>
      <c r="P21"/>
      <c r="Q21"/>
      <c r="R21"/>
      <c r="S21"/>
      <c r="T21"/>
      <c r="U21"/>
      <c r="V21"/>
      <c r="W21" s="413"/>
    </row>
    <row r="22" spans="1:23">
      <c r="A22" s="382"/>
      <c r="B22" s="382"/>
      <c r="L22" s="394" t="str">
        <f t="shared" si="0"/>
        <v/>
      </c>
      <c r="M22" s="394" t="str">
        <f>IF(OR(L22="",COUNTIF($M$4:M21,IF(ISERROR($R22*1),LEFT($R22,2)*1,$R22*1))&gt;=1),"-",IF(ISERROR($R22*1),LEFT($R22,2)*1,$R22*1))</f>
        <v>-</v>
      </c>
      <c r="N22" s="394" t="str">
        <f>IF(OR(L22="",COUNTIF($N$4:N21,V22*1)&gt;=1),"-",V22*1)</f>
        <v>-</v>
      </c>
      <c r="O22" s="398"/>
      <c r="P22"/>
      <c r="Q22"/>
      <c r="R22"/>
      <c r="S22"/>
      <c r="T22"/>
      <c r="U22"/>
      <c r="V22"/>
      <c r="W22" s="413"/>
    </row>
    <row r="23" spans="1:23">
      <c r="A23" s="382"/>
      <c r="B23" s="382"/>
      <c r="L23" s="394" t="str">
        <f t="shared" si="0"/>
        <v/>
      </c>
      <c r="M23" s="394" t="str">
        <f>IF(OR(L23="",COUNTIF($M$4:M22,IF(ISERROR($R23*1),LEFT($R23,2)*1,$R23*1))&gt;=1),"-",IF(ISERROR($R23*1),LEFT($R23,2)*1,$R23*1))</f>
        <v>-</v>
      </c>
      <c r="N23" s="394" t="str">
        <f>IF(OR(L23="",COUNTIF($N$4:N22,V23*1)&gt;=1),"-",V23*1)</f>
        <v>-</v>
      </c>
      <c r="O23" s="398"/>
      <c r="P23"/>
      <c r="Q23"/>
      <c r="R23"/>
      <c r="S23"/>
      <c r="T23"/>
      <c r="U23"/>
      <c r="V23"/>
      <c r="W23" s="413"/>
    </row>
    <row r="24" spans="1:23">
      <c r="A24" s="382"/>
      <c r="B24" s="382"/>
      <c r="L24" s="394" t="str">
        <f t="shared" si="0"/>
        <v/>
      </c>
      <c r="M24" s="394" t="str">
        <f>IF(OR(L24="",COUNTIF($M$4:M23,IF(ISERROR($R24*1),LEFT($R24,2)*1,$R24*1))&gt;=1),"-",IF(ISERROR($R24*1),LEFT($R24,2)*1,$R24*1))</f>
        <v>-</v>
      </c>
      <c r="N24" s="394" t="str">
        <f>IF(OR(L24="",COUNTIF($N$4:N23,V24*1)&gt;=1),"-",V24*1)</f>
        <v>-</v>
      </c>
      <c r="O24" s="398"/>
      <c r="P24"/>
      <c r="Q24"/>
      <c r="R24"/>
      <c r="S24"/>
      <c r="T24"/>
      <c r="U24"/>
      <c r="V24"/>
      <c r="W24" s="413"/>
    </row>
    <row r="25" spans="1:23">
      <c r="A25" s="382"/>
      <c r="B25" s="382"/>
      <c r="L25" s="394" t="str">
        <f t="shared" si="0"/>
        <v/>
      </c>
      <c r="M25" s="394" t="str">
        <f>IF(OR(L25="",COUNTIF($M$4:M24,IF(ISERROR($R25*1),LEFT($R25,2)*1,$R25*1))&gt;=1),"-",IF(ISERROR($R25*1),LEFT($R25,2)*1,$R25*1))</f>
        <v>-</v>
      </c>
      <c r="N25" s="394" t="str">
        <f>IF(OR(L25="",COUNTIF($N$4:N24,V25*1)&gt;=1),"-",V25*1)</f>
        <v>-</v>
      </c>
      <c r="O25" s="398"/>
      <c r="P25"/>
      <c r="Q25"/>
      <c r="R25"/>
      <c r="S25"/>
      <c r="T25"/>
      <c r="U25"/>
      <c r="V25"/>
      <c r="W25" s="413"/>
    </row>
    <row r="26" spans="1:23">
      <c r="A26" s="382"/>
      <c r="B26" s="382"/>
      <c r="L26" s="394" t="str">
        <f t="shared" si="0"/>
        <v/>
      </c>
      <c r="M26" s="394" t="str">
        <f>IF(OR(L26="",COUNTIF($M$4:M25,IF(ISERROR($R26*1),LEFT($R26,2)*1,$R26*1))&gt;=1),"-",IF(ISERROR($R26*1),LEFT($R26,2)*1,$R26*1))</f>
        <v>-</v>
      </c>
      <c r="N26" s="394" t="str">
        <f>IF(OR(L26="",COUNTIF($N$4:N25,V26*1)&gt;=1),"-",V26*1)</f>
        <v>-</v>
      </c>
      <c r="O26" s="398"/>
      <c r="P26"/>
      <c r="Q26"/>
      <c r="R26"/>
      <c r="S26"/>
      <c r="T26"/>
      <c r="U26"/>
      <c r="V26"/>
      <c r="W26" s="413"/>
    </row>
    <row r="27" spans="1:23">
      <c r="A27" s="382"/>
      <c r="B27" s="382"/>
      <c r="L27" s="394" t="str">
        <f t="shared" si="0"/>
        <v/>
      </c>
      <c r="M27" s="394" t="str">
        <f>IF(OR(L27="",COUNTIF($M$4:M26,IF(ISERROR($R27*1),LEFT($R27,2)*1,$R27*1))&gt;=1),"-",IF(ISERROR($R27*1),LEFT($R27,2)*1,$R27*1))</f>
        <v>-</v>
      </c>
      <c r="N27" s="394" t="str">
        <f>IF(OR(L27="",COUNTIF($N$4:N26,V27*1)&gt;=1),"-",V27*1)</f>
        <v>-</v>
      </c>
      <c r="O27" s="398"/>
      <c r="P27"/>
      <c r="Q27"/>
      <c r="R27"/>
      <c r="S27"/>
      <c r="T27"/>
      <c r="U27"/>
      <c r="V27"/>
      <c r="W27" s="413"/>
    </row>
    <row r="28" spans="1:23">
      <c r="A28" s="382"/>
      <c r="B28" s="382"/>
      <c r="L28" s="394" t="str">
        <f t="shared" si="0"/>
        <v/>
      </c>
      <c r="M28" s="394" t="str">
        <f>IF(OR(L28="",COUNTIF($M$4:M27,IF(ISERROR($R28*1),LEFT($R28,2)*1,$R28*1))&gt;=1),"-",IF(ISERROR($R28*1),LEFT($R28,2)*1,$R28*1))</f>
        <v>-</v>
      </c>
      <c r="N28" s="394" t="str">
        <f>IF(OR(L28="",COUNTIF($N$4:N27,V28*1)&gt;=1),"-",V28*1)</f>
        <v>-</v>
      </c>
      <c r="O28" s="398"/>
      <c r="P28"/>
      <c r="Q28"/>
      <c r="R28"/>
      <c r="S28"/>
      <c r="T28"/>
      <c r="U28"/>
      <c r="V28"/>
      <c r="W28" s="413"/>
    </row>
    <row r="29" spans="1:23">
      <c r="A29" s="382"/>
      <c r="B29" s="382"/>
      <c r="L29" s="394" t="str">
        <f t="shared" si="0"/>
        <v/>
      </c>
      <c r="M29" s="394" t="str">
        <f>IF(OR(L29="",COUNTIF($M$4:M28,IF(ISERROR($R29*1),LEFT($R29,2)*1,$R29*1))&gt;=1),"-",IF(ISERROR($R29*1),LEFT($R29,2)*1,$R29*1))</f>
        <v>-</v>
      </c>
      <c r="N29" s="394" t="str">
        <f>IF(OR(L29="",COUNTIF($N$4:N28,V29*1)&gt;=1),"-",V29*1)</f>
        <v>-</v>
      </c>
      <c r="O29" s="398"/>
      <c r="P29"/>
      <c r="Q29"/>
      <c r="R29"/>
      <c r="S29"/>
      <c r="T29"/>
      <c r="U29"/>
      <c r="V29"/>
      <c r="W29" s="413"/>
    </row>
    <row r="30" spans="1:23">
      <c r="A30" s="382"/>
      <c r="B30" s="382"/>
      <c r="L30" s="394" t="str">
        <f t="shared" si="0"/>
        <v/>
      </c>
      <c r="M30" s="394" t="str">
        <f>IF(OR(L30="",COUNTIF($M$4:M29,IF(ISERROR($R30*1),LEFT($R30,2)*1,$R30*1))&gt;=1),"-",IF(ISERROR($R30*1),LEFT($R30,2)*1,$R30*1))</f>
        <v>-</v>
      </c>
      <c r="N30" s="394" t="str">
        <f>IF(OR(L30="",COUNTIF($N$4:N29,V30*1)&gt;=1),"-",V30*1)</f>
        <v>-</v>
      </c>
      <c r="O30" s="398"/>
      <c r="P30"/>
      <c r="Q30"/>
      <c r="R30"/>
      <c r="S30"/>
      <c r="T30"/>
      <c r="U30"/>
      <c r="V30"/>
      <c r="W30" s="413"/>
    </row>
    <row r="31" spans="1:23">
      <c r="A31" s="382"/>
      <c r="B31" s="382"/>
      <c r="L31" s="394" t="str">
        <f t="shared" si="0"/>
        <v/>
      </c>
      <c r="M31" s="394" t="str">
        <f>IF(OR(L31="",COUNTIF($M$4:M30,IF(ISERROR($R31*1),LEFT($R31,2)*1,$R31*1))&gt;=1),"-",IF(ISERROR($R31*1),LEFT($R31,2)*1,$R31*1))</f>
        <v>-</v>
      </c>
      <c r="N31" s="394" t="str">
        <f>IF(OR(L31="",COUNTIF($N$4:N30,V31*1)&gt;=1),"-",V31*1)</f>
        <v>-</v>
      </c>
      <c r="O31" s="398"/>
      <c r="P31"/>
      <c r="Q31"/>
      <c r="R31"/>
      <c r="S31"/>
      <c r="T31"/>
      <c r="U31"/>
      <c r="V31"/>
      <c r="W31" s="413"/>
    </row>
    <row r="32" spans="1:23">
      <c r="A32" s="382"/>
      <c r="B32" s="382"/>
      <c r="L32" s="394" t="str">
        <f t="shared" si="0"/>
        <v/>
      </c>
      <c r="M32" s="394" t="str">
        <f>IF(OR(L32="",COUNTIF($M$4:M31,IF(ISERROR($R32*1),LEFT($R32,2)*1,$R32*1))&gt;=1),"-",IF(ISERROR($R32*1),LEFT($R32,2)*1,$R32*1))</f>
        <v>-</v>
      </c>
      <c r="N32" s="394" t="str">
        <f>IF(OR(L32="",COUNTIF($N$4:N31,V32*1)&gt;=1),"-",V32*1)</f>
        <v>-</v>
      </c>
      <c r="O32" s="398"/>
      <c r="P32"/>
      <c r="Q32"/>
      <c r="R32"/>
      <c r="S32"/>
      <c r="T32"/>
      <c r="U32"/>
      <c r="V32"/>
      <c r="W32" s="413"/>
    </row>
    <row r="33" spans="1:23">
      <c r="A33" s="382"/>
      <c r="B33" s="382"/>
      <c r="L33" s="394" t="str">
        <f t="shared" si="0"/>
        <v/>
      </c>
      <c r="M33" s="394" t="str">
        <f>IF(OR(L33="",COUNTIF($M$4:M32,IF(ISERROR($R33*1),LEFT($R33,2)*1,$R33*1))&gt;=1),"-",IF(ISERROR($R33*1),LEFT($R33,2)*1,$R33*1))</f>
        <v>-</v>
      </c>
      <c r="N33" s="394" t="str">
        <f>IF(OR(L33="",COUNTIF($N$4:N32,V33*1)&gt;=1),"-",V33*1)</f>
        <v>-</v>
      </c>
      <c r="O33" s="398"/>
      <c r="P33"/>
      <c r="Q33"/>
      <c r="R33"/>
      <c r="S33"/>
      <c r="T33"/>
      <c r="U33"/>
      <c r="V33"/>
      <c r="W33" s="413"/>
    </row>
    <row r="34" spans="1:23">
      <c r="A34" s="382"/>
      <c r="B34" s="382"/>
      <c r="L34" s="394" t="str">
        <f t="shared" si="0"/>
        <v/>
      </c>
      <c r="M34" s="394" t="str">
        <f>IF(OR(L34="",COUNTIF($M$4:M33,IF(ISERROR($R34*1),LEFT($R34,2)*1,$R34*1))&gt;=1),"-",IF(ISERROR($R34*1),LEFT($R34,2)*1,$R34*1))</f>
        <v>-</v>
      </c>
      <c r="N34" s="394" t="str">
        <f>IF(OR(L34="",COUNTIF($N$4:N33,V34*1)&gt;=1),"-",V34*1)</f>
        <v>-</v>
      </c>
      <c r="O34" s="398"/>
      <c r="P34"/>
      <c r="Q34"/>
      <c r="R34"/>
      <c r="S34"/>
      <c r="T34"/>
      <c r="U34"/>
      <c r="V34"/>
      <c r="W34" s="413"/>
    </row>
    <row r="35" spans="1:23">
      <c r="A35" s="382"/>
      <c r="B35" s="382"/>
      <c r="L35" s="394" t="str">
        <f t="shared" si="0"/>
        <v/>
      </c>
      <c r="M35" s="394" t="str">
        <f>IF(OR(L35="",COUNTIF($M$4:M34,IF(ISERROR($R35*1),LEFT($R35,2)*1,$R35*1))&gt;=1),"-",IF(ISERROR($R35*1),LEFT($R35,2)*1,$R35*1))</f>
        <v>-</v>
      </c>
      <c r="N35" s="394" t="str">
        <f>IF(OR(L35="",COUNTIF($N$4:N34,V35*1)&gt;=1),"-",V35*1)</f>
        <v>-</v>
      </c>
      <c r="O35" s="398"/>
      <c r="P35"/>
      <c r="Q35"/>
      <c r="R35"/>
      <c r="S35"/>
      <c r="T35"/>
      <c r="U35"/>
      <c r="V35"/>
      <c r="W35" s="413"/>
    </row>
    <row r="36" spans="1:23">
      <c r="A36" s="382"/>
      <c r="B36" s="382"/>
      <c r="L36" s="394" t="str">
        <f t="shared" si="0"/>
        <v/>
      </c>
      <c r="M36" s="394" t="str">
        <f>IF(OR(L36="",COUNTIF($M$4:M35,IF(ISERROR($R36*1),LEFT($R36,2)*1,$R36*1))&gt;=1),"-",IF(ISERROR($R36*1),LEFT($R36,2)*1,$R36*1))</f>
        <v>-</v>
      </c>
      <c r="N36" s="394" t="str">
        <f>IF(OR(L36="",COUNTIF($N$4:N35,V36*1)&gt;=1),"-",V36*1)</f>
        <v>-</v>
      </c>
      <c r="O36" s="398"/>
      <c r="P36"/>
      <c r="Q36"/>
      <c r="R36"/>
      <c r="S36"/>
      <c r="T36"/>
      <c r="U36"/>
      <c r="V36"/>
      <c r="W36" s="413"/>
    </row>
    <row r="37" spans="1:23">
      <c r="A37" s="382"/>
      <c r="B37" s="382"/>
      <c r="L37" s="394" t="str">
        <f t="shared" si="0"/>
        <v/>
      </c>
      <c r="M37" s="394" t="str">
        <f>IF(OR(L37="",COUNTIF($M$4:M36,IF(ISERROR($R37*1),LEFT($R37,2)*1,$R37*1))&gt;=1),"-",IF(ISERROR($R37*1),LEFT($R37,2)*1,$R37*1))</f>
        <v>-</v>
      </c>
      <c r="N37" s="394" t="str">
        <f>IF(OR(L37="",COUNTIF($N$4:N36,V37*1)&gt;=1),"-",V37*1)</f>
        <v>-</v>
      </c>
      <c r="O37" s="398"/>
      <c r="P37"/>
      <c r="Q37"/>
      <c r="R37"/>
      <c r="S37"/>
      <c r="T37"/>
      <c r="U37"/>
      <c r="V37"/>
      <c r="W37" s="413"/>
    </row>
    <row r="38" spans="1:23">
      <c r="A38" s="382"/>
      <c r="B38" s="382"/>
      <c r="L38" s="394" t="str">
        <f t="shared" si="0"/>
        <v/>
      </c>
      <c r="M38" s="394" t="str">
        <f>IF(OR(L38="",COUNTIF($M$4:M37,IF(ISERROR($R38*1),LEFT($R38,2)*1,$R38*1))&gt;=1),"-",IF(ISERROR($R38*1),LEFT($R38,2)*1,$R38*1))</f>
        <v>-</v>
      </c>
      <c r="N38" s="394" t="str">
        <f>IF(OR(L38="",COUNTIF($N$4:N37,V38*1)&gt;=1),"-",V38*1)</f>
        <v>-</v>
      </c>
      <c r="O38" s="398"/>
      <c r="P38"/>
      <c r="Q38"/>
      <c r="R38"/>
      <c r="S38"/>
      <c r="T38"/>
      <c r="U38"/>
      <c r="V38"/>
      <c r="W38" s="413"/>
    </row>
    <row r="39" spans="1:23">
      <c r="A39" s="382"/>
      <c r="B39" s="382"/>
      <c r="L39" s="394" t="str">
        <f t="shared" si="0"/>
        <v/>
      </c>
      <c r="M39" s="394" t="str">
        <f>IF(OR(L39="",COUNTIF($M$4:M38,IF(ISERROR($R39*1),LEFT($R39,2)*1,$R39*1))&gt;=1),"-",IF(ISERROR($R39*1),LEFT($R39,2)*1,$R39*1))</f>
        <v>-</v>
      </c>
      <c r="N39" s="394" t="str">
        <f>IF(OR(L39="",COUNTIF($N$4:N38,V39*1)&gt;=1),"-",V39*1)</f>
        <v>-</v>
      </c>
      <c r="O39" s="398"/>
      <c r="P39"/>
      <c r="Q39"/>
      <c r="R39"/>
      <c r="S39"/>
      <c r="T39"/>
      <c r="U39"/>
      <c r="V39"/>
      <c r="W39" s="413"/>
    </row>
    <row r="40" spans="1:23">
      <c r="A40" s="382"/>
      <c r="B40" s="382"/>
      <c r="L40" s="394" t="str">
        <f t="shared" si="0"/>
        <v/>
      </c>
      <c r="M40" s="394" t="str">
        <f>IF(OR(L40="",COUNTIF($M$4:M39,IF(ISERROR($R40*1),LEFT($R40,2)*1,$R40*1))&gt;=1),"-",IF(ISERROR($R40*1),LEFT($R40,2)*1,$R40*1))</f>
        <v>-</v>
      </c>
      <c r="N40" s="394" t="str">
        <f>IF(OR(L40="",COUNTIF($N$4:N39,V40*1)&gt;=1),"-",V40*1)</f>
        <v>-</v>
      </c>
      <c r="O40" s="398"/>
      <c r="P40"/>
      <c r="Q40"/>
      <c r="R40"/>
      <c r="S40"/>
      <c r="T40"/>
      <c r="U40"/>
      <c r="V40"/>
      <c r="W40" s="413"/>
    </row>
    <row r="41" spans="1:23">
      <c r="A41" s="382"/>
      <c r="B41" s="382"/>
      <c r="L41" s="394" t="str">
        <f t="shared" si="0"/>
        <v/>
      </c>
      <c r="M41" s="394" t="str">
        <f>IF(OR(L41="",COUNTIF($M$4:M40,IF(ISERROR($R41*1),LEFT($R41,2)*1,$R41*1))&gt;=1),"-",IF(ISERROR($R41*1),LEFT($R41,2)*1,$R41*1))</f>
        <v>-</v>
      </c>
      <c r="N41" s="394" t="str">
        <f>IF(OR(L41="",COUNTIF($N$4:N40,V41*1)&gt;=1),"-",V41*1)</f>
        <v>-</v>
      </c>
      <c r="O41" s="398"/>
      <c r="P41"/>
      <c r="Q41"/>
      <c r="R41"/>
      <c r="S41"/>
      <c r="T41"/>
      <c r="U41"/>
      <c r="V41"/>
      <c r="W41" s="413"/>
    </row>
    <row r="42" spans="1:23">
      <c r="A42" s="382"/>
      <c r="B42" s="382"/>
      <c r="L42" s="394" t="str">
        <f t="shared" si="0"/>
        <v/>
      </c>
      <c r="M42" s="394" t="str">
        <f>IF(OR(L42="",COUNTIF($M$4:M41,IF(ISERROR($R42*1),LEFT($R42,2)*1,$R42*1))&gt;=1),"-",IF(ISERROR($R42*1),LEFT($R42,2)*1,$R42*1))</f>
        <v>-</v>
      </c>
      <c r="N42" s="394" t="str">
        <f>IF(OR(L42="",COUNTIF($N$4:N41,V42*1)&gt;=1),"-",V42*1)</f>
        <v>-</v>
      </c>
      <c r="O42" s="398"/>
      <c r="P42"/>
      <c r="Q42"/>
      <c r="R42"/>
      <c r="S42"/>
      <c r="T42"/>
      <c r="U42"/>
      <c r="V42"/>
      <c r="W42" s="413"/>
    </row>
    <row r="43" spans="1:23">
      <c r="L43" s="394" t="str">
        <f t="shared" si="0"/>
        <v/>
      </c>
      <c r="M43" s="394" t="str">
        <f>IF(OR(L43="",COUNTIF($M$4:M42,IF(ISERROR($R43*1),LEFT($R43,2)*1,$R43*1))&gt;=1),"-",IF(ISERROR($R43*1),LEFT($R43,2)*1,$R43*1))</f>
        <v>-</v>
      </c>
      <c r="N43" s="394" t="str">
        <f>IF(OR(L43="",COUNTIF($N$4:N42,V43*1)&gt;=1),"-",V43*1)</f>
        <v>-</v>
      </c>
      <c r="O43" s="398"/>
      <c r="P43"/>
      <c r="Q43"/>
      <c r="R43"/>
      <c r="S43"/>
      <c r="T43"/>
      <c r="U43"/>
      <c r="V43"/>
      <c r="W43" s="413"/>
    </row>
    <row r="44" spans="1:23">
      <c r="L44" s="394" t="str">
        <f t="shared" si="0"/>
        <v/>
      </c>
      <c r="M44" s="394" t="str">
        <f>IF(OR(L44="",COUNTIF($M$4:M43,IF(ISERROR($R44*1),LEFT($R44,2)*1,$R44*1))&gt;=1),"-",IF(ISERROR($R44*1),LEFT($R44,2)*1,$R44*1))</f>
        <v>-</v>
      </c>
      <c r="N44" s="394" t="str">
        <f>IF(OR(L44="",COUNTIF($N$4:N43,V44*1)&gt;=1),"-",V44*1)</f>
        <v>-</v>
      </c>
      <c r="O44" s="398"/>
      <c r="P44"/>
      <c r="Q44"/>
      <c r="R44"/>
      <c r="S44"/>
      <c r="T44"/>
      <c r="U44"/>
      <c r="V44"/>
      <c r="W44" s="413"/>
    </row>
    <row r="45" spans="1:23">
      <c r="L45" s="394" t="str">
        <f t="shared" si="0"/>
        <v/>
      </c>
      <c r="M45" s="394" t="str">
        <f>IF(OR(L45="",COUNTIF($M$4:M44,IF(ISERROR($R45*1),LEFT($R45,2)*1,$R45*1))&gt;=1),"-",IF(ISERROR($R45*1),LEFT($R45,2)*1,$R45*1))</f>
        <v>-</v>
      </c>
      <c r="N45" s="394" t="str">
        <f>IF(OR(L45="",COUNTIF($N$4:N44,V45*1)&gt;=1),"-",V45*1)</f>
        <v>-</v>
      </c>
      <c r="O45" s="398"/>
      <c r="P45"/>
      <c r="Q45"/>
      <c r="R45"/>
      <c r="S45"/>
      <c r="T45"/>
      <c r="U45"/>
      <c r="V45"/>
      <c r="W45" s="413"/>
    </row>
    <row r="46" spans="1:23">
      <c r="L46" s="394" t="str">
        <f t="shared" si="0"/>
        <v/>
      </c>
      <c r="M46" s="394" t="str">
        <f>IF(OR(L46="",COUNTIF($M$4:M45,IF(ISERROR($R46*1),LEFT($R46,2)*1,$R46*1))&gt;=1),"-",IF(ISERROR($R46*1),LEFT($R46,2)*1,$R46*1))</f>
        <v>-</v>
      </c>
      <c r="N46" s="394" t="str">
        <f>IF(OR(L46="",COUNTIF($N$4:N45,V46*1)&gt;=1),"-",V46*1)</f>
        <v>-</v>
      </c>
      <c r="O46" s="398"/>
      <c r="P46"/>
      <c r="Q46"/>
      <c r="R46"/>
      <c r="S46"/>
      <c r="T46"/>
      <c r="U46"/>
      <c r="V46"/>
      <c r="W46" s="413"/>
    </row>
    <row r="47" spans="1:23">
      <c r="L47" s="394" t="str">
        <f t="shared" si="0"/>
        <v/>
      </c>
      <c r="M47" s="394" t="str">
        <f>IF(OR(L47="",COUNTIF($M$4:M46,IF(ISERROR($R47*1),LEFT($R47,2)*1,$R47*1))&gt;=1),"-",IF(ISERROR($R47*1),LEFT($R47,2)*1,$R47*1))</f>
        <v>-</v>
      </c>
      <c r="N47" s="394" t="str">
        <f>IF(OR(L47="",COUNTIF($N$4:N46,V47*1)&gt;=1),"-",V47*1)</f>
        <v>-</v>
      </c>
      <c r="O47" s="398"/>
      <c r="P47"/>
      <c r="Q47"/>
      <c r="R47"/>
      <c r="S47"/>
      <c r="T47"/>
      <c r="U47"/>
      <c r="V47"/>
      <c r="W47" s="413"/>
    </row>
    <row r="48" spans="1:23">
      <c r="L48" s="394" t="str">
        <f t="shared" si="0"/>
        <v/>
      </c>
      <c r="M48" s="394" t="str">
        <f>IF(OR(L48="",COUNTIF($M$4:M47,IF(ISERROR($R48*1),LEFT($R48,2)*1,$R48*1))&gt;=1),"-",IF(ISERROR($R48*1),LEFT($R48,2)*1,$R48*1))</f>
        <v>-</v>
      </c>
      <c r="N48" s="394" t="str">
        <f>IF(OR(L48="",COUNTIF($N$4:N47,V48*1)&gt;=1),"-",V48*1)</f>
        <v>-</v>
      </c>
      <c r="O48" s="398"/>
      <c r="P48"/>
      <c r="Q48"/>
      <c r="R48"/>
      <c r="S48"/>
      <c r="T48"/>
      <c r="U48"/>
      <c r="V48"/>
      <c r="W48" s="413"/>
    </row>
    <row r="49" spans="12:23">
      <c r="L49" s="394" t="str">
        <f t="shared" si="0"/>
        <v/>
      </c>
      <c r="M49" s="394" t="str">
        <f>IF(OR(L49="",COUNTIF($M$4:M48,IF(ISERROR($R49*1),LEFT($R49,2)*1,$R49*1))&gt;=1),"-",IF(ISERROR($R49*1),LEFT($R49,2)*1,$R49*1))</f>
        <v>-</v>
      </c>
      <c r="N49" s="394" t="str">
        <f>IF(OR(L49="",COUNTIF($N$4:N48,V49*1)&gt;=1),"-",V49*1)</f>
        <v>-</v>
      </c>
      <c r="O49" s="398"/>
      <c r="P49"/>
      <c r="Q49"/>
      <c r="R49"/>
      <c r="S49"/>
      <c r="T49"/>
      <c r="U49"/>
      <c r="V49"/>
      <c r="W49" s="413"/>
    </row>
    <row r="50" spans="12:23">
      <c r="L50" s="394" t="str">
        <f t="shared" si="0"/>
        <v/>
      </c>
      <c r="M50" s="394" t="str">
        <f>IF(OR(L50="",COUNTIF($M$4:M49,IF(ISERROR($R50*1),LEFT($R50,2)*1,$R50*1))&gt;=1),"-",IF(ISERROR($R50*1),LEFT($R50,2)*1,$R50*1))</f>
        <v>-</v>
      </c>
      <c r="N50" s="394" t="str">
        <f>IF(OR(L50="",COUNTIF($N$4:N49,V50*1)&gt;=1),"-",V50*1)</f>
        <v>-</v>
      </c>
      <c r="O50" s="398"/>
      <c r="P50"/>
      <c r="Q50"/>
      <c r="R50"/>
      <c r="S50"/>
      <c r="T50"/>
      <c r="U50"/>
      <c r="V50"/>
      <c r="W50" s="413"/>
    </row>
    <row r="51" spans="12:23">
      <c r="L51" s="394" t="str">
        <f t="shared" si="0"/>
        <v/>
      </c>
      <c r="M51" s="394" t="str">
        <f>IF(OR(L51="",COUNTIF($M$4:M50,IF(ISERROR($R51*1),LEFT($R51,2)*1,$R51*1))&gt;=1),"-",IF(ISERROR($R51*1),LEFT($R51,2)*1,$R51*1))</f>
        <v>-</v>
      </c>
      <c r="N51" s="394" t="str">
        <f>IF(OR(L51="",COUNTIF($N$4:N50,V51*1)&gt;=1),"-",V51*1)</f>
        <v>-</v>
      </c>
      <c r="O51" s="398"/>
      <c r="P51"/>
      <c r="Q51"/>
      <c r="R51"/>
      <c r="S51"/>
      <c r="T51"/>
      <c r="U51"/>
      <c r="V51"/>
      <c r="W51" s="413"/>
    </row>
    <row r="52" spans="12:23">
      <c r="L52" s="394" t="str">
        <f t="shared" si="0"/>
        <v/>
      </c>
      <c r="M52" s="394" t="str">
        <f>IF(OR(L52="",COUNTIF($M$4:M51,IF(ISERROR($R52*1),LEFT($R52,2)*1,$R52*1))&gt;=1),"-",IF(ISERROR($R52*1),LEFT($R52,2)*1,$R52*1))</f>
        <v>-</v>
      </c>
      <c r="N52" s="394" t="str">
        <f>IF(OR(L52="",COUNTIF($N$4:N51,V52*1)&gt;=1),"-",V52*1)</f>
        <v>-</v>
      </c>
      <c r="O52" s="398"/>
      <c r="P52"/>
      <c r="Q52"/>
      <c r="R52"/>
      <c r="S52"/>
      <c r="T52"/>
      <c r="U52"/>
      <c r="V52"/>
      <c r="W52"/>
    </row>
    <row r="53" spans="12:23">
      <c r="L53" s="394" t="str">
        <f t="shared" si="0"/>
        <v/>
      </c>
      <c r="M53" s="394" t="str">
        <f>IF(OR(L53="",COUNTIF($M$4:M52,IF(ISERROR($R53*1),LEFT($R53,2)*1,$R53*1))&gt;=1),"-",IF(ISERROR($R53*1),LEFT($R53,2)*1,$R53*1))</f>
        <v>-</v>
      </c>
      <c r="N53" s="394" t="str">
        <f>IF(OR(L53="",COUNTIF($N$4:N52,V53*1)&gt;=1),"-",V53*1)</f>
        <v>-</v>
      </c>
      <c r="O53" s="398"/>
      <c r="P53"/>
      <c r="Q53"/>
      <c r="R53"/>
      <c r="S53"/>
      <c r="T53"/>
      <c r="U53"/>
      <c r="V53"/>
      <c r="W53"/>
    </row>
    <row r="54" spans="12:23">
      <c r="L54" s="394" t="str">
        <f t="shared" si="0"/>
        <v/>
      </c>
      <c r="M54" s="394" t="str">
        <f>IF(OR(L54="",COUNTIF($M$4:M53,IF(ISERROR($R54*1),LEFT($R54,2)*1,$R54*1))&gt;=1),"-",IF(ISERROR($R54*1),LEFT($R54,2)*1,$R54*1))</f>
        <v>-</v>
      </c>
      <c r="N54" s="394" t="str">
        <f>IF(OR(L54="",COUNTIF($N$4:N53,V54*1)&gt;=1),"-",V54*1)</f>
        <v>-</v>
      </c>
      <c r="O54" s="398"/>
      <c r="P54"/>
      <c r="Q54"/>
      <c r="R54"/>
      <c r="S54"/>
      <c r="T54"/>
      <c r="U54"/>
      <c r="V54"/>
      <c r="W54"/>
    </row>
    <row r="55" spans="12:23">
      <c r="L55" s="394" t="str">
        <f t="shared" si="0"/>
        <v/>
      </c>
      <c r="M55" s="394" t="str">
        <f>IF(OR(L55="",COUNTIF($M$4:M54,IF(ISERROR($R55*1),LEFT($R55,2)*1,$R55*1))&gt;=1),"-",IF(ISERROR($R55*1),LEFT($R55,2)*1,$R55*1))</f>
        <v>-</v>
      </c>
      <c r="N55" s="394" t="str">
        <f>IF(OR(L55="",COUNTIF($N$4:N54,V55*1)&gt;=1),"-",V55*1)</f>
        <v>-</v>
      </c>
      <c r="O55" s="398"/>
      <c r="P55"/>
      <c r="Q55"/>
      <c r="R55"/>
      <c r="S55"/>
      <c r="T55"/>
      <c r="U55"/>
      <c r="V55"/>
      <c r="W55"/>
    </row>
    <row r="56" spans="12:23">
      <c r="L56" s="394" t="str">
        <f t="shared" si="0"/>
        <v/>
      </c>
      <c r="M56" s="394" t="str">
        <f>IF(OR(L56="",COUNTIF($M$4:M55,IF(ISERROR($R56*1),LEFT($R56,2)*1,$R56*1))&gt;=1),"-",IF(ISERROR($R56*1),LEFT($R56,2)*1,$R56*1))</f>
        <v>-</v>
      </c>
      <c r="N56" s="394" t="str">
        <f>IF(OR(L56="",COUNTIF($N$4:N55,V56*1)&gt;=1),"-",V56*1)</f>
        <v>-</v>
      </c>
      <c r="O56" s="398"/>
      <c r="P56"/>
      <c r="Q56"/>
      <c r="R56"/>
      <c r="S56"/>
      <c r="T56"/>
      <c r="U56"/>
      <c r="V56"/>
      <c r="W56"/>
    </row>
    <row r="57" spans="12:23">
      <c r="L57" s="394" t="str">
        <f t="shared" si="0"/>
        <v/>
      </c>
      <c r="M57" s="394" t="str">
        <f>IF(OR(L57="",COUNTIF($M$4:M56,IF(ISERROR($R57*1),LEFT($R57,2)*1,$R57*1))&gt;=1),"-",IF(ISERROR($R57*1),LEFT($R57,2)*1,$R57*1))</f>
        <v>-</v>
      </c>
      <c r="N57" s="394" t="str">
        <f>IF(OR(L57="",COUNTIF($N$4:N56,V57*1)&gt;=1),"-",V57*1)</f>
        <v>-</v>
      </c>
      <c r="O57" s="398"/>
      <c r="P57"/>
      <c r="Q57"/>
      <c r="R57"/>
      <c r="S57"/>
      <c r="T57"/>
      <c r="U57"/>
      <c r="V57"/>
      <c r="W57"/>
    </row>
    <row r="58" spans="12:23">
      <c r="L58" s="394" t="str">
        <f t="shared" si="0"/>
        <v/>
      </c>
      <c r="M58" s="394" t="str">
        <f>IF(OR(L58="",COUNTIF($M$4:M57,IF(ISERROR($R58*1),LEFT($R58,2)*1,$R58*1))&gt;=1),"-",IF(ISERROR($R58*1),LEFT($R58,2)*1,$R58*1))</f>
        <v>-</v>
      </c>
      <c r="N58" s="394" t="str">
        <f>IF(OR(L58="",COUNTIF($N$4:N57,V58*1)&gt;=1),"-",V58*1)</f>
        <v>-</v>
      </c>
      <c r="O58" s="398"/>
      <c r="P58"/>
      <c r="Q58"/>
      <c r="R58"/>
      <c r="S58"/>
      <c r="T58"/>
      <c r="U58"/>
      <c r="V58"/>
      <c r="W58"/>
    </row>
    <row r="59" spans="12:23">
      <c r="L59" s="394" t="str">
        <f t="shared" si="0"/>
        <v/>
      </c>
      <c r="M59" s="394" t="str">
        <f>IF(OR(L59="",COUNTIF($M$4:M58,IF(ISERROR($R59*1),LEFT($R59,2)*1,$R59*1))&gt;=1),"-",IF(ISERROR($R59*1),LEFT($R59,2)*1,$R59*1))</f>
        <v>-</v>
      </c>
      <c r="N59" s="394" t="str">
        <f>IF(OR(L59="",COUNTIF($N$4:N58,V59*1)&gt;=1),"-",V59*1)</f>
        <v>-</v>
      </c>
      <c r="O59" s="398"/>
      <c r="P59"/>
      <c r="Q59"/>
      <c r="R59"/>
      <c r="S59"/>
      <c r="T59"/>
      <c r="U59"/>
      <c r="V59"/>
      <c r="W59"/>
    </row>
    <row r="60" spans="12:23">
      <c r="L60" s="394" t="str">
        <f t="shared" si="0"/>
        <v/>
      </c>
      <c r="M60" s="394" t="str">
        <f>IF(OR(L60="",COUNTIF($M$4:M59,IF(ISERROR($R60*1),LEFT($R60,2)*1,$R60*1))&gt;=1),"-",IF(ISERROR($R60*1),LEFT($R60,2)*1,$R60*1))</f>
        <v>-</v>
      </c>
      <c r="N60" s="394" t="str">
        <f>IF(OR(L60="",COUNTIF($N$4:N59,V60*1)&gt;=1),"-",V60*1)</f>
        <v>-</v>
      </c>
      <c r="O60" s="398"/>
      <c r="P60"/>
      <c r="Q60"/>
      <c r="R60"/>
      <c r="S60"/>
      <c r="T60"/>
      <c r="U60"/>
      <c r="V60"/>
      <c r="W60"/>
    </row>
    <row r="61" spans="12:23">
      <c r="L61" s="394" t="str">
        <f t="shared" si="0"/>
        <v/>
      </c>
      <c r="M61" s="394" t="str">
        <f>IF(OR(L61="",COUNTIF($M$4:M60,IF(ISERROR($R61*1),LEFT($R61,2)*1,$R61*1))&gt;=1),"-",IF(ISERROR($R61*1),LEFT($R61,2)*1,$R61*1))</f>
        <v>-</v>
      </c>
      <c r="N61" s="394" t="str">
        <f>IF(OR(L61="",COUNTIF($N$4:N60,V61*1)&gt;=1),"-",V61*1)</f>
        <v>-</v>
      </c>
      <c r="O61" s="398"/>
      <c r="P61"/>
      <c r="Q61"/>
      <c r="R61"/>
      <c r="S61"/>
      <c r="T61"/>
      <c r="U61"/>
      <c r="V61"/>
      <c r="W61"/>
    </row>
    <row r="62" spans="12:23">
      <c r="L62" s="394" t="str">
        <f t="shared" si="0"/>
        <v/>
      </c>
      <c r="M62" s="394" t="str">
        <f>IF(OR(L62="",COUNTIF($M$4:M61,IF(ISERROR($R62*1),LEFT($R62,2)*1,$R62*1))&gt;=1),"-",IF(ISERROR($R62*1),LEFT($R62,2)*1,$R62*1))</f>
        <v>-</v>
      </c>
      <c r="N62" s="394" t="str">
        <f>IF(OR(L62="",COUNTIF($N$4:N61,V62*1)&gt;=1),"-",V62*1)</f>
        <v>-</v>
      </c>
      <c r="O62" s="398"/>
      <c r="P62"/>
      <c r="Q62"/>
      <c r="R62"/>
      <c r="S62"/>
      <c r="T62"/>
      <c r="U62"/>
      <c r="V62"/>
      <c r="W62"/>
    </row>
    <row r="63" spans="12:23">
      <c r="L63" s="394" t="str">
        <f t="shared" si="0"/>
        <v/>
      </c>
      <c r="M63" s="394" t="str">
        <f>IF(OR(L63="",COUNTIF($M$4:M62,IF(ISERROR($R63*1),LEFT($R63,2)*1,$R63*1))&gt;=1),"-",IF(ISERROR($R63*1),LEFT($R63,2)*1,$R63*1))</f>
        <v>-</v>
      </c>
      <c r="N63" s="394" t="str">
        <f>IF(OR(L63="",COUNTIF($N$4:N62,V63*1)&gt;=1),"-",V63*1)</f>
        <v>-</v>
      </c>
      <c r="O63" s="398"/>
      <c r="P63"/>
      <c r="Q63"/>
      <c r="R63"/>
      <c r="S63"/>
      <c r="T63"/>
      <c r="U63"/>
      <c r="V63"/>
      <c r="W63"/>
    </row>
    <row r="64" spans="12:23">
      <c r="L64" s="394" t="str">
        <f t="shared" si="0"/>
        <v/>
      </c>
      <c r="M64" s="394" t="str">
        <f>IF(OR(L64="",COUNTIF($M$4:M63,IF(ISERROR($R64*1),LEFT($R64,2)*1,$R64*1))&gt;=1),"-",IF(ISERROR($R64*1),LEFT($R64,2)*1,$R64*1))</f>
        <v>-</v>
      </c>
      <c r="N64" s="394" t="str">
        <f>IF(OR(L64="",COUNTIF($N$4:N63,V64*1)&gt;=1),"-",V64*1)</f>
        <v>-</v>
      </c>
      <c r="O64" s="398"/>
      <c r="P64"/>
      <c r="Q64"/>
      <c r="R64"/>
      <c r="S64"/>
      <c r="T64"/>
      <c r="U64"/>
      <c r="V64"/>
      <c r="W64"/>
    </row>
    <row r="65" spans="12:23">
      <c r="L65" s="394" t="str">
        <f t="shared" si="0"/>
        <v/>
      </c>
      <c r="M65" s="394" t="str">
        <f>IF(OR(L65="",COUNTIF($M$4:M64,IF(ISERROR($R65*1),LEFT($R65,2)*1,$R65*1))&gt;=1),"-",IF(ISERROR($R65*1),LEFT($R65,2)*1,$R65*1))</f>
        <v>-</v>
      </c>
      <c r="N65" s="394" t="str">
        <f>IF(OR(L65="",COUNTIF($N$4:N64,V65*1)&gt;=1),"-",V65*1)</f>
        <v>-</v>
      </c>
      <c r="O65" s="398"/>
      <c r="P65"/>
      <c r="Q65"/>
      <c r="R65"/>
      <c r="S65"/>
      <c r="T65"/>
      <c r="U65"/>
      <c r="V65"/>
      <c r="W65"/>
    </row>
    <row r="66" spans="12:23">
      <c r="L66" s="394" t="str">
        <f t="shared" si="0"/>
        <v/>
      </c>
      <c r="M66" s="394" t="str">
        <f>IF(OR(L66="",COUNTIF($M$4:M65,IF(ISERROR($R66*1),LEFT($R66,2)*1,$R66*1))&gt;=1),"-",IF(ISERROR($R66*1),LEFT($R66,2)*1,$R66*1))</f>
        <v>-</v>
      </c>
      <c r="N66" s="394" t="str">
        <f>IF(OR(L66="",COUNTIF($N$4:N65,V66*1)&gt;=1),"-",V66*1)</f>
        <v>-</v>
      </c>
      <c r="O66" s="398"/>
      <c r="P66"/>
      <c r="Q66"/>
      <c r="R66"/>
      <c r="S66"/>
      <c r="T66"/>
      <c r="U66"/>
      <c r="V66"/>
      <c r="W66"/>
    </row>
    <row r="67" spans="12:23">
      <c r="L67" s="394" t="str">
        <f t="shared" si="0"/>
        <v/>
      </c>
      <c r="M67" s="394" t="str">
        <f>IF(OR(L67="",COUNTIF($M$4:M66,IF(ISERROR($R67*1),LEFT($R67,2)*1,$R67*1))&gt;=1),"-",IF(ISERROR($R67*1),LEFT($R67,2)*1,$R67*1))</f>
        <v>-</v>
      </c>
      <c r="N67" s="394" t="str">
        <f>IF(OR(L67="",COUNTIF($N$4:N66,V67*1)&gt;=1),"-",V67*1)</f>
        <v>-</v>
      </c>
      <c r="O67" s="398"/>
      <c r="P67"/>
      <c r="Q67"/>
      <c r="R67"/>
      <c r="S67"/>
      <c r="T67"/>
      <c r="U67"/>
      <c r="V67"/>
      <c r="W67"/>
    </row>
    <row r="68" spans="12:23">
      <c r="L68" s="394" t="str">
        <f t="shared" ref="L68:L131" si="5">IF(P68&lt;&gt;$B$1,"",P68&amp;Q68&amp;R68&amp;V68)</f>
        <v/>
      </c>
      <c r="M68" s="394" t="str">
        <f>IF(OR(L68="",COUNTIF($M$4:M67,IF(ISERROR($R68*1),LEFT($R68,2)*1,$R68*1))&gt;=1),"-",IF(ISERROR($R68*1),LEFT($R68,2)*1,$R68*1))</f>
        <v>-</v>
      </c>
      <c r="N68" s="394" t="str">
        <f>IF(OR(L68="",COUNTIF($N$4:N67,V68*1)&gt;=1),"-",V68*1)</f>
        <v>-</v>
      </c>
      <c r="O68" s="398"/>
      <c r="P68"/>
      <c r="Q68"/>
      <c r="R68"/>
      <c r="S68"/>
      <c r="T68"/>
      <c r="U68"/>
      <c r="V68"/>
      <c r="W68"/>
    </row>
    <row r="69" spans="12:23">
      <c r="L69" s="394" t="str">
        <f t="shared" si="5"/>
        <v/>
      </c>
      <c r="M69" s="394" t="str">
        <f>IF(OR(L69="",COUNTIF($M$4:M68,IF(ISERROR($R69*1),LEFT($R69,2)*1,$R69*1))&gt;=1),"-",IF(ISERROR($R69*1),LEFT($R69,2)*1,$R69*1))</f>
        <v>-</v>
      </c>
      <c r="N69" s="394" t="str">
        <f>IF(OR(L69="",COUNTIF($N$4:N68,V69*1)&gt;=1),"-",V69*1)</f>
        <v>-</v>
      </c>
      <c r="O69" s="398"/>
      <c r="P69"/>
      <c r="Q69"/>
      <c r="R69"/>
      <c r="S69"/>
      <c r="T69"/>
      <c r="U69"/>
      <c r="V69"/>
      <c r="W69"/>
    </row>
    <row r="70" spans="12:23">
      <c r="L70" s="394" t="str">
        <f t="shared" si="5"/>
        <v/>
      </c>
      <c r="M70" s="394" t="str">
        <f>IF(OR(L70="",COUNTIF($M$4:M69,IF(ISERROR($R70*1),LEFT($R70,2)*1,$R70*1))&gt;=1),"-",IF(ISERROR($R70*1),LEFT($R70,2)*1,$R70*1))</f>
        <v>-</v>
      </c>
      <c r="N70" s="394" t="str">
        <f>IF(OR(L70="",COUNTIF($N$4:N69,V70*1)&gt;=1),"-",V70*1)</f>
        <v>-</v>
      </c>
      <c r="O70" s="398"/>
      <c r="P70"/>
      <c r="Q70"/>
      <c r="R70"/>
      <c r="S70"/>
      <c r="T70"/>
      <c r="U70"/>
      <c r="V70"/>
      <c r="W70"/>
    </row>
    <row r="71" spans="12:23">
      <c r="L71" s="394" t="str">
        <f t="shared" si="5"/>
        <v/>
      </c>
      <c r="M71" s="394" t="str">
        <f>IF(OR(L71="",COUNTIF($M$4:M70,IF(ISERROR($R71*1),LEFT($R71,2)*1,$R71*1))&gt;=1),"-",IF(ISERROR($R71*1),LEFT($R71,2)*1,$R71*1))</f>
        <v>-</v>
      </c>
      <c r="N71" s="394" t="str">
        <f>IF(OR(L71="",COUNTIF($N$4:N70,V71*1)&gt;=1),"-",V71*1)</f>
        <v>-</v>
      </c>
      <c r="O71" s="398"/>
      <c r="P71"/>
      <c r="Q71"/>
      <c r="R71"/>
      <c r="S71"/>
      <c r="T71"/>
      <c r="U71"/>
      <c r="V71"/>
      <c r="W71"/>
    </row>
    <row r="72" spans="12:23">
      <c r="L72" s="394" t="str">
        <f t="shared" si="5"/>
        <v/>
      </c>
      <c r="M72" s="394" t="str">
        <f>IF(OR(L72="",COUNTIF($M$4:M71,IF(ISERROR($R72*1),LEFT($R72,2)*1,$R72*1))&gt;=1),"-",IF(ISERROR($R72*1),LEFT($R72,2)*1,$R72*1))</f>
        <v>-</v>
      </c>
      <c r="N72" s="394" t="str">
        <f>IF(OR(L72="",COUNTIF($N$4:N71,V72*1)&gt;=1),"-",V72*1)</f>
        <v>-</v>
      </c>
      <c r="O72" s="398"/>
      <c r="P72"/>
      <c r="Q72"/>
      <c r="R72"/>
      <c r="S72"/>
      <c r="T72"/>
      <c r="U72"/>
      <c r="V72"/>
      <c r="W72"/>
    </row>
    <row r="73" spans="12:23">
      <c r="L73" s="394" t="str">
        <f t="shared" si="5"/>
        <v/>
      </c>
      <c r="M73" s="394" t="str">
        <f>IF(OR(L73="",COUNTIF($M$4:M72,IF(ISERROR($R73*1),LEFT($R73,2)*1,$R73*1))&gt;=1),"-",IF(ISERROR($R73*1),LEFT($R73,2)*1,$R73*1))</f>
        <v>-</v>
      </c>
      <c r="N73" s="394" t="str">
        <f>IF(OR(L73="",COUNTIF($N$4:N72,V73*1)&gt;=1),"-",V73*1)</f>
        <v>-</v>
      </c>
      <c r="O73" s="398"/>
      <c r="P73"/>
      <c r="Q73"/>
      <c r="R73"/>
      <c r="S73"/>
      <c r="T73"/>
      <c r="U73"/>
      <c r="V73"/>
      <c r="W73"/>
    </row>
    <row r="74" spans="12:23">
      <c r="L74" s="394" t="str">
        <f t="shared" si="5"/>
        <v/>
      </c>
      <c r="M74" s="394" t="str">
        <f>IF(OR(L74="",COUNTIF($M$4:M73,IF(ISERROR($R74*1),LEFT($R74,2)*1,$R74*1))&gt;=1),"-",IF(ISERROR($R74*1),LEFT($R74,2)*1,$R74*1))</f>
        <v>-</v>
      </c>
      <c r="N74" s="394" t="str">
        <f>IF(OR(L74="",COUNTIF($N$4:N73,V74*1)&gt;=1),"-",V74*1)</f>
        <v>-</v>
      </c>
      <c r="O74" s="398"/>
      <c r="P74"/>
      <c r="Q74"/>
      <c r="R74"/>
      <c r="S74"/>
      <c r="T74"/>
      <c r="U74"/>
      <c r="V74"/>
      <c r="W74"/>
    </row>
    <row r="75" spans="12:23">
      <c r="L75" s="394" t="str">
        <f t="shared" si="5"/>
        <v/>
      </c>
      <c r="M75" s="394" t="str">
        <f>IF(OR(L75="",COUNTIF($M$4:M74,IF(ISERROR($R75*1),LEFT($R75,2)*1,$R75*1))&gt;=1),"-",IF(ISERROR($R75*1),LEFT($R75,2)*1,$R75*1))</f>
        <v>-</v>
      </c>
      <c r="N75" s="394" t="str">
        <f>IF(OR(L75="",COUNTIF($N$4:N74,V75*1)&gt;=1),"-",V75*1)</f>
        <v>-</v>
      </c>
      <c r="O75" s="398"/>
      <c r="P75"/>
      <c r="Q75"/>
      <c r="R75"/>
      <c r="S75"/>
      <c r="T75"/>
      <c r="U75"/>
      <c r="V75"/>
      <c r="W75"/>
    </row>
    <row r="76" spans="12:23">
      <c r="L76" s="394" t="str">
        <f t="shared" si="5"/>
        <v/>
      </c>
      <c r="M76" s="394" t="str">
        <f>IF(OR(L76="",COUNTIF($M$4:M75,IF(ISERROR($R76*1),LEFT($R76,2)*1,$R76*1))&gt;=1),"-",IF(ISERROR($R76*1),LEFT($R76,2)*1,$R76*1))</f>
        <v>-</v>
      </c>
      <c r="N76" s="394" t="str">
        <f>IF(OR(L76="",COUNTIF($N$4:N75,V76*1)&gt;=1),"-",V76*1)</f>
        <v>-</v>
      </c>
      <c r="O76" s="398"/>
      <c r="P76"/>
      <c r="Q76"/>
      <c r="R76"/>
      <c r="S76"/>
      <c r="T76"/>
      <c r="U76"/>
      <c r="V76"/>
      <c r="W76"/>
    </row>
    <row r="77" spans="12:23">
      <c r="L77" s="394" t="str">
        <f t="shared" si="5"/>
        <v/>
      </c>
      <c r="M77" s="394" t="str">
        <f>IF(OR(L77="",COUNTIF($M$4:M76,IF(ISERROR($R77*1),LEFT($R77,2)*1,$R77*1))&gt;=1),"-",IF(ISERROR($R77*1),LEFT($R77,2)*1,$R77*1))</f>
        <v>-</v>
      </c>
      <c r="N77" s="394" t="str">
        <f>IF(OR(L77="",COUNTIF($N$4:N76,V77*1)&gt;=1),"-",V77*1)</f>
        <v>-</v>
      </c>
      <c r="O77" s="398"/>
      <c r="P77"/>
      <c r="Q77"/>
      <c r="R77"/>
      <c r="S77"/>
      <c r="T77"/>
      <c r="U77"/>
      <c r="V77"/>
      <c r="W77"/>
    </row>
    <row r="78" spans="12:23">
      <c r="L78" s="394" t="str">
        <f t="shared" si="5"/>
        <v/>
      </c>
      <c r="M78" s="394" t="str">
        <f>IF(OR(L78="",COUNTIF($M$4:M77,IF(ISERROR($R78*1),LEFT($R78,2)*1,$R78*1))&gt;=1),"-",IF(ISERROR($R78*1),LEFT($R78,2)*1,$R78*1))</f>
        <v>-</v>
      </c>
      <c r="N78" s="394" t="str">
        <f>IF(OR(L78="",COUNTIF($N$4:N77,V78*1)&gt;=1),"-",V78*1)</f>
        <v>-</v>
      </c>
      <c r="O78" s="398"/>
      <c r="P78"/>
      <c r="Q78"/>
      <c r="R78"/>
      <c r="S78"/>
      <c r="T78"/>
      <c r="U78"/>
      <c r="V78"/>
      <c r="W78"/>
    </row>
    <row r="79" spans="12:23">
      <c r="L79" s="394" t="str">
        <f t="shared" si="5"/>
        <v/>
      </c>
      <c r="M79" s="394" t="str">
        <f>IF(OR(L79="",COUNTIF($M$4:M78,IF(ISERROR($R79*1),LEFT($R79,2)*1,$R79*1))&gt;=1),"-",IF(ISERROR($R79*1),LEFT($R79,2)*1,$R79*1))</f>
        <v>-</v>
      </c>
      <c r="N79" s="394" t="str">
        <f>IF(OR(L79="",COUNTIF($N$4:N78,V79*1)&gt;=1),"-",V79*1)</f>
        <v>-</v>
      </c>
      <c r="O79" s="398"/>
      <c r="P79"/>
      <c r="Q79"/>
      <c r="R79"/>
      <c r="S79"/>
      <c r="T79"/>
      <c r="U79"/>
      <c r="V79"/>
      <c r="W79"/>
    </row>
    <row r="80" spans="12:23">
      <c r="L80" s="394" t="str">
        <f t="shared" si="5"/>
        <v/>
      </c>
      <c r="M80" s="394" t="str">
        <f>IF(OR(L80="",COUNTIF($M$4:M79,IF(ISERROR($R80*1),LEFT($R80,2)*1,$R80*1))&gt;=1),"-",IF(ISERROR($R80*1),LEFT($R80,2)*1,$R80*1))</f>
        <v>-</v>
      </c>
      <c r="N80" s="394" t="str">
        <f>IF(OR(L80="",COUNTIF($N$4:N79,V80*1)&gt;=1),"-",V80*1)</f>
        <v>-</v>
      </c>
      <c r="O80" s="398"/>
      <c r="P80"/>
      <c r="Q80"/>
      <c r="R80"/>
      <c r="S80"/>
      <c r="T80"/>
      <c r="U80"/>
      <c r="V80"/>
      <c r="W80"/>
    </row>
    <row r="81" spans="12:23">
      <c r="L81" s="394" t="str">
        <f t="shared" si="5"/>
        <v/>
      </c>
      <c r="M81" s="394" t="str">
        <f>IF(OR(L81="",COUNTIF($M$4:M80,IF(ISERROR($R81*1),LEFT($R81,2)*1,$R81*1))&gt;=1),"-",IF(ISERROR($R81*1),LEFT($R81,2)*1,$R81*1))</f>
        <v>-</v>
      </c>
      <c r="N81" s="394" t="str">
        <f>IF(OR(L81="",COUNTIF($N$4:N80,V81*1)&gt;=1),"-",V81*1)</f>
        <v>-</v>
      </c>
      <c r="O81" s="398"/>
      <c r="P81"/>
      <c r="Q81"/>
      <c r="R81"/>
      <c r="S81"/>
      <c r="T81"/>
      <c r="U81"/>
      <c r="V81"/>
      <c r="W81"/>
    </row>
    <row r="82" spans="12:23">
      <c r="L82" s="394" t="str">
        <f t="shared" si="5"/>
        <v/>
      </c>
      <c r="M82" s="394" t="str">
        <f>IF(OR(L82="",COUNTIF($M$4:M81,IF(ISERROR($R82*1),LEFT($R82,2)*1,$R82*1))&gt;=1),"-",IF(ISERROR($R82*1),LEFT($R82,2)*1,$R82*1))</f>
        <v>-</v>
      </c>
      <c r="N82" s="394" t="str">
        <f>IF(OR(L82="",COUNTIF($N$4:N81,V82*1)&gt;=1),"-",V82*1)</f>
        <v>-</v>
      </c>
      <c r="O82" s="398"/>
      <c r="P82"/>
      <c r="Q82"/>
      <c r="R82"/>
      <c r="S82"/>
      <c r="T82"/>
      <c r="U82"/>
      <c r="V82"/>
      <c r="W82"/>
    </row>
    <row r="83" spans="12:23">
      <c r="L83" s="394" t="str">
        <f t="shared" si="5"/>
        <v/>
      </c>
      <c r="M83" s="394" t="str">
        <f>IF(OR(L83="",COUNTIF($M$4:M82,IF(ISERROR($R83*1),LEFT($R83,2)*1,$R83*1))&gt;=1),"-",IF(ISERROR($R83*1),LEFT($R83,2)*1,$R83*1))</f>
        <v>-</v>
      </c>
      <c r="N83" s="394" t="str">
        <f>IF(OR(L83="",COUNTIF($N$4:N82,V83*1)&gt;=1),"-",V83*1)</f>
        <v>-</v>
      </c>
      <c r="O83" s="398"/>
      <c r="P83"/>
      <c r="Q83"/>
      <c r="R83"/>
      <c r="S83"/>
      <c r="T83"/>
      <c r="U83"/>
      <c r="V83"/>
      <c r="W83"/>
    </row>
    <row r="84" spans="12:23">
      <c r="L84" s="394" t="str">
        <f t="shared" si="5"/>
        <v/>
      </c>
      <c r="M84" s="394" t="str">
        <f>IF(OR(L84="",COUNTIF($M$4:M83,IF(ISERROR($R84*1),LEFT($R84,2)*1,$R84*1))&gt;=1),"-",IF(ISERROR($R84*1),LEFT($R84,2)*1,$R84*1))</f>
        <v>-</v>
      </c>
      <c r="N84" s="394" t="str">
        <f>IF(OR(L84="",COUNTIF($N$4:N83,V84*1)&gt;=1),"-",V84*1)</f>
        <v>-</v>
      </c>
      <c r="O84" s="398"/>
      <c r="P84"/>
      <c r="Q84"/>
      <c r="R84"/>
      <c r="S84"/>
      <c r="T84"/>
      <c r="U84"/>
      <c r="V84"/>
      <c r="W84"/>
    </row>
    <row r="85" spans="12:23">
      <c r="L85" s="394" t="str">
        <f t="shared" si="5"/>
        <v/>
      </c>
      <c r="M85" s="394" t="str">
        <f>IF(OR(L85="",COUNTIF($M$4:M84,IF(ISERROR($R85*1),LEFT($R85,2)*1,$R85*1))&gt;=1),"-",IF(ISERROR($R85*1),LEFT($R85,2)*1,$R85*1))</f>
        <v>-</v>
      </c>
      <c r="N85" s="394" t="str">
        <f>IF(OR(L85="",COUNTIF($N$4:N84,V85*1)&gt;=1),"-",V85*1)</f>
        <v>-</v>
      </c>
      <c r="O85" s="398"/>
      <c r="P85"/>
      <c r="Q85"/>
      <c r="R85"/>
      <c r="S85"/>
      <c r="T85"/>
      <c r="U85"/>
      <c r="V85"/>
      <c r="W85"/>
    </row>
    <row r="86" spans="12:23">
      <c r="L86" s="394" t="str">
        <f t="shared" si="5"/>
        <v/>
      </c>
      <c r="M86" s="394" t="str">
        <f>IF(OR(L86="",COUNTIF($M$4:M85,IF(ISERROR($R86*1),LEFT($R86,2)*1,$R86*1))&gt;=1),"-",IF(ISERROR($R86*1),LEFT($R86,2)*1,$R86*1))</f>
        <v>-</v>
      </c>
      <c r="N86" s="394" t="str">
        <f>IF(OR(L86="",COUNTIF($N$4:N85,V86*1)&gt;=1),"-",V86*1)</f>
        <v>-</v>
      </c>
      <c r="O86" s="398"/>
      <c r="P86"/>
      <c r="Q86"/>
      <c r="R86"/>
      <c r="S86"/>
      <c r="T86"/>
      <c r="U86"/>
      <c r="V86"/>
      <c r="W86"/>
    </row>
    <row r="87" spans="12:23">
      <c r="L87" s="394" t="str">
        <f t="shared" si="5"/>
        <v/>
      </c>
      <c r="M87" s="394" t="str">
        <f>IF(OR(L87="",COUNTIF($M$4:M86,IF(ISERROR($R87*1),LEFT($R87,2)*1,$R87*1))&gt;=1),"-",IF(ISERROR($R87*1),LEFT($R87,2)*1,$R87*1))</f>
        <v>-</v>
      </c>
      <c r="N87" s="394" t="str">
        <f>IF(OR(L87="",COUNTIF($N$4:N86,V87*1)&gt;=1),"-",V87*1)</f>
        <v>-</v>
      </c>
      <c r="O87" s="398"/>
      <c r="P87"/>
      <c r="Q87"/>
      <c r="R87"/>
      <c r="S87"/>
      <c r="T87"/>
      <c r="U87"/>
      <c r="V87"/>
      <c r="W87"/>
    </row>
    <row r="88" spans="12:23">
      <c r="L88" s="394" t="str">
        <f t="shared" si="5"/>
        <v/>
      </c>
      <c r="M88" s="394" t="str">
        <f>IF(OR(L88="",COUNTIF($M$4:M87,IF(ISERROR($R88*1),LEFT($R88,2)*1,$R88*1))&gt;=1),"-",IF(ISERROR($R88*1),LEFT($R88,2)*1,$R88*1))</f>
        <v>-</v>
      </c>
      <c r="N88" s="394" t="str">
        <f>IF(OR(L88="",COUNTIF($N$4:N87,V88*1)&gt;=1),"-",V88*1)</f>
        <v>-</v>
      </c>
      <c r="O88" s="398"/>
      <c r="P88"/>
      <c r="Q88"/>
      <c r="R88"/>
      <c r="S88"/>
      <c r="T88"/>
      <c r="U88"/>
      <c r="V88"/>
      <c r="W88"/>
    </row>
    <row r="89" spans="12:23">
      <c r="L89" s="394" t="str">
        <f t="shared" si="5"/>
        <v/>
      </c>
      <c r="M89" s="394" t="str">
        <f>IF(OR(L89="",COUNTIF($M$4:M88,IF(ISERROR($R89*1),LEFT($R89,2)*1,$R89*1))&gt;=1),"-",IF(ISERROR($R89*1),LEFT($R89,2)*1,$R89*1))</f>
        <v>-</v>
      </c>
      <c r="N89" s="394" t="str">
        <f>IF(OR(L89="",COUNTIF($N$4:N88,V89*1)&gt;=1),"-",V89*1)</f>
        <v>-</v>
      </c>
      <c r="O89" s="398"/>
      <c r="P89"/>
      <c r="Q89"/>
      <c r="R89"/>
      <c r="S89"/>
      <c r="T89"/>
      <c r="U89"/>
      <c r="V89"/>
      <c r="W89"/>
    </row>
    <row r="90" spans="12:23">
      <c r="L90" s="394" t="str">
        <f t="shared" si="5"/>
        <v/>
      </c>
      <c r="M90" s="394" t="str">
        <f>IF(OR(L90="",COUNTIF($M$4:M89,IF(ISERROR($R90*1),LEFT($R90,2)*1,$R90*1))&gt;=1),"-",IF(ISERROR($R90*1),LEFT($R90,2)*1,$R90*1))</f>
        <v>-</v>
      </c>
      <c r="N90" s="394" t="str">
        <f>IF(OR(L90="",COUNTIF($N$4:N89,V90*1)&gt;=1),"-",V90*1)</f>
        <v>-</v>
      </c>
      <c r="O90" s="398"/>
      <c r="P90"/>
      <c r="Q90"/>
      <c r="R90"/>
      <c r="S90"/>
      <c r="T90"/>
      <c r="U90"/>
      <c r="V90"/>
      <c r="W90"/>
    </row>
    <row r="91" spans="12:23">
      <c r="L91" s="394" t="str">
        <f t="shared" si="5"/>
        <v/>
      </c>
      <c r="M91" s="394" t="str">
        <f>IF(OR(L91="",COUNTIF($M$4:M90,IF(ISERROR($R91*1),LEFT($R91,2)*1,$R91*1))&gt;=1),"-",IF(ISERROR($R91*1),LEFT($R91,2)*1,$R91*1))</f>
        <v>-</v>
      </c>
      <c r="N91" s="394" t="str">
        <f>IF(OR(L91="",COUNTIF($N$4:N90,V91*1)&gt;=1),"-",V91*1)</f>
        <v>-</v>
      </c>
      <c r="O91" s="398"/>
      <c r="P91"/>
      <c r="Q91"/>
      <c r="R91"/>
      <c r="S91"/>
      <c r="T91"/>
      <c r="U91"/>
      <c r="V91"/>
      <c r="W91"/>
    </row>
    <row r="92" spans="12:23">
      <c r="L92" s="394" t="str">
        <f t="shared" si="5"/>
        <v/>
      </c>
      <c r="M92" s="394" t="str">
        <f>IF(OR(L92="",COUNTIF($M$4:M91,IF(ISERROR($R92*1),LEFT($R92,2)*1,$R92*1))&gt;=1),"-",IF(ISERROR($R92*1),LEFT($R92,2)*1,$R92*1))</f>
        <v>-</v>
      </c>
      <c r="N92" s="394" t="str">
        <f>IF(OR(L92="",COUNTIF($N$4:N91,V92*1)&gt;=1),"-",V92*1)</f>
        <v>-</v>
      </c>
      <c r="O92" s="398"/>
      <c r="P92"/>
      <c r="Q92"/>
      <c r="R92"/>
      <c r="S92"/>
      <c r="T92"/>
      <c r="U92"/>
      <c r="V92"/>
      <c r="W92"/>
    </row>
    <row r="93" spans="12:23">
      <c r="L93" s="394" t="str">
        <f t="shared" si="5"/>
        <v/>
      </c>
      <c r="M93" s="394" t="str">
        <f>IF(OR(L93="",COUNTIF($M$4:M92,IF(ISERROR($R93*1),LEFT($R93,2)*1,$R93*1))&gt;=1),"-",IF(ISERROR($R93*1),LEFT($R93,2)*1,$R93*1))</f>
        <v>-</v>
      </c>
      <c r="N93" s="394" t="str">
        <f>IF(OR(L93="",COUNTIF($N$4:N92,V93*1)&gt;=1),"-",V93*1)</f>
        <v>-</v>
      </c>
      <c r="O93" s="398"/>
      <c r="P93"/>
      <c r="Q93"/>
      <c r="R93"/>
      <c r="S93"/>
      <c r="T93"/>
      <c r="U93"/>
      <c r="V93"/>
      <c r="W93"/>
    </row>
    <row r="94" spans="12:23">
      <c r="L94" s="394" t="str">
        <f t="shared" si="5"/>
        <v/>
      </c>
      <c r="M94" s="394" t="str">
        <f>IF(OR(L94="",COUNTIF($M$4:M93,IF(ISERROR($R94*1),LEFT($R94,2)*1,$R94*1))&gt;=1),"-",IF(ISERROR($R94*1),LEFT($R94,2)*1,$R94*1))</f>
        <v>-</v>
      </c>
      <c r="N94" s="394" t="str">
        <f>IF(OR(L94="",COUNTIF($N$4:N93,V94*1)&gt;=1),"-",V94*1)</f>
        <v>-</v>
      </c>
      <c r="O94" s="398"/>
      <c r="P94"/>
      <c r="Q94"/>
      <c r="R94"/>
      <c r="S94"/>
      <c r="T94"/>
      <c r="U94"/>
      <c r="V94"/>
      <c r="W94"/>
    </row>
    <row r="95" spans="12:23">
      <c r="L95" s="394" t="str">
        <f t="shared" si="5"/>
        <v/>
      </c>
      <c r="M95" s="394" t="str">
        <f>IF(OR(L95="",COUNTIF($M$4:M94,IF(ISERROR($R95*1),LEFT($R95,2)*1,$R95*1))&gt;=1),"-",IF(ISERROR($R95*1),LEFT($R95,2)*1,$R95*1))</f>
        <v>-</v>
      </c>
      <c r="N95" s="394" t="str">
        <f>IF(OR(L95="",COUNTIF($N$4:N94,V95*1)&gt;=1),"-",V95*1)</f>
        <v>-</v>
      </c>
      <c r="O95" s="398"/>
      <c r="P95"/>
      <c r="Q95"/>
      <c r="R95"/>
      <c r="S95"/>
      <c r="T95"/>
      <c r="U95"/>
      <c r="V95"/>
      <c r="W95"/>
    </row>
    <row r="96" spans="12:23">
      <c r="L96" s="394" t="str">
        <f t="shared" si="5"/>
        <v/>
      </c>
      <c r="M96" s="394" t="str">
        <f>IF(OR(L96="",COUNTIF($M$4:M95,IF(ISERROR($R96*1),LEFT($R96,2)*1,$R96*1))&gt;=1),"-",IF(ISERROR($R96*1),LEFT($R96,2)*1,$R96*1))</f>
        <v>-</v>
      </c>
      <c r="N96" s="394" t="str">
        <f>IF(OR(L96="",COUNTIF($N$4:N95,V96*1)&gt;=1),"-",V96*1)</f>
        <v>-</v>
      </c>
      <c r="O96" s="398"/>
      <c r="P96"/>
      <c r="Q96"/>
      <c r="R96"/>
      <c r="S96"/>
      <c r="T96"/>
      <c r="U96"/>
      <c r="V96"/>
      <c r="W96"/>
    </row>
    <row r="97" spans="12:23">
      <c r="L97" s="394" t="str">
        <f t="shared" si="5"/>
        <v/>
      </c>
      <c r="M97" s="394" t="str">
        <f>IF(OR(L97="",COUNTIF($M$4:M96,IF(ISERROR($R97*1),LEFT($R97,2)*1,$R97*1))&gt;=1),"-",IF(ISERROR($R97*1),LEFT($R97,2)*1,$R97*1))</f>
        <v>-</v>
      </c>
      <c r="N97" s="394" t="str">
        <f>IF(OR(L97="",COUNTIF($N$4:N96,V97*1)&gt;=1),"-",V97*1)</f>
        <v>-</v>
      </c>
      <c r="O97" s="398"/>
      <c r="P97"/>
      <c r="Q97"/>
      <c r="R97"/>
      <c r="S97"/>
      <c r="T97"/>
      <c r="U97"/>
      <c r="V97"/>
      <c r="W97"/>
    </row>
    <row r="98" spans="12:23">
      <c r="L98" s="394" t="str">
        <f t="shared" si="5"/>
        <v/>
      </c>
      <c r="M98" s="394" t="str">
        <f>IF(OR(L98="",COUNTIF($M$4:M97,IF(ISERROR($R98*1),LEFT($R98,2)*1,$R98*1))&gt;=1),"-",IF(ISERROR($R98*1),LEFT($R98,2)*1,$R98*1))</f>
        <v>-</v>
      </c>
      <c r="N98" s="394" t="str">
        <f>IF(OR(L98="",COUNTIF($N$4:N97,V98*1)&gt;=1),"-",V98*1)</f>
        <v>-</v>
      </c>
      <c r="O98" s="398"/>
      <c r="P98"/>
      <c r="Q98"/>
      <c r="R98"/>
      <c r="S98"/>
      <c r="T98"/>
      <c r="U98"/>
      <c r="V98"/>
      <c r="W98"/>
    </row>
    <row r="99" spans="12:23">
      <c r="L99" s="394" t="str">
        <f t="shared" si="5"/>
        <v/>
      </c>
      <c r="M99" s="394" t="str">
        <f>IF(OR(L99="",COUNTIF($M$4:M98,IF(ISERROR($R99*1),LEFT($R99,2)*1,$R99*1))&gt;=1),"-",IF(ISERROR($R99*1),LEFT($R99,2)*1,$R99*1))</f>
        <v>-</v>
      </c>
      <c r="N99" s="394" t="str">
        <f>IF(OR(L99="",COUNTIF($N$4:N98,V99*1)&gt;=1),"-",V99*1)</f>
        <v>-</v>
      </c>
      <c r="O99" s="398"/>
      <c r="P99"/>
      <c r="Q99"/>
      <c r="R99"/>
      <c r="S99"/>
      <c r="T99"/>
      <c r="U99"/>
      <c r="V99"/>
      <c r="W99"/>
    </row>
    <row r="100" spans="12:23">
      <c r="L100" s="394" t="str">
        <f t="shared" si="5"/>
        <v/>
      </c>
      <c r="M100" s="394" t="str">
        <f>IF(OR(L100="",COUNTIF($M$4:M99,IF(ISERROR($R100*1),LEFT($R100,2)*1,$R100*1))&gt;=1),"-",IF(ISERROR($R100*1),LEFT($R100,2)*1,$R100*1))</f>
        <v>-</v>
      </c>
      <c r="N100" s="394" t="str">
        <f>IF(OR(L100="",COUNTIF($N$4:N99,V100*1)&gt;=1),"-",V100*1)</f>
        <v>-</v>
      </c>
      <c r="O100" s="398"/>
      <c r="P100"/>
      <c r="Q100"/>
      <c r="R100"/>
      <c r="S100"/>
      <c r="T100"/>
      <c r="U100"/>
      <c r="V100"/>
      <c r="W100"/>
    </row>
    <row r="101" spans="12:23">
      <c r="L101" s="394" t="str">
        <f t="shared" si="5"/>
        <v/>
      </c>
      <c r="M101" s="394" t="str">
        <f>IF(OR(L101="",COUNTIF($M$4:M100,IF(ISERROR($R101*1),LEFT($R101,2)*1,$R101*1))&gt;=1),"-",IF(ISERROR($R101*1),LEFT($R101,2)*1,$R101*1))</f>
        <v>-</v>
      </c>
      <c r="N101" s="394" t="str">
        <f>IF(OR(L101="",COUNTIF($N$4:N100,V101*1)&gt;=1),"-",V101*1)</f>
        <v>-</v>
      </c>
      <c r="O101" s="398"/>
      <c r="P101"/>
      <c r="Q101"/>
      <c r="R101"/>
      <c r="S101"/>
      <c r="T101"/>
      <c r="U101"/>
      <c r="V101"/>
      <c r="W101"/>
    </row>
    <row r="102" spans="12:23">
      <c r="L102" s="394" t="str">
        <f t="shared" si="5"/>
        <v/>
      </c>
      <c r="M102" s="394" t="str">
        <f>IF(OR(L102="",COUNTIF($M$4:M101,IF(ISERROR($R102*1),LEFT($R102,2)*1,$R102*1))&gt;=1),"-",IF(ISERROR($R102*1),LEFT($R102,2)*1,$R102*1))</f>
        <v>-</v>
      </c>
      <c r="N102" s="394" t="str">
        <f>IF(OR(L102="",COUNTIF($N$4:N101,V102*1)&gt;=1),"-",V102*1)</f>
        <v>-</v>
      </c>
      <c r="O102" s="398"/>
      <c r="P102"/>
      <c r="Q102"/>
      <c r="R102"/>
      <c r="S102"/>
      <c r="T102"/>
      <c r="U102"/>
      <c r="V102"/>
      <c r="W102"/>
    </row>
    <row r="103" spans="12:23">
      <c r="L103" s="394" t="str">
        <f t="shared" si="5"/>
        <v/>
      </c>
      <c r="M103" s="394" t="str">
        <f>IF(OR(L103="",COUNTIF($M$4:M102,IF(ISERROR($R103*1),LEFT($R103,2)*1,$R103*1))&gt;=1),"-",IF(ISERROR($R103*1),LEFT($R103,2)*1,$R103*1))</f>
        <v>-</v>
      </c>
      <c r="N103" s="394" t="str">
        <f>IF(OR(L103="",COUNTIF($N$4:N102,V103*1)&gt;=1),"-",V103*1)</f>
        <v>-</v>
      </c>
      <c r="O103" s="398"/>
      <c r="P103"/>
      <c r="Q103"/>
      <c r="R103"/>
      <c r="S103"/>
      <c r="T103"/>
      <c r="U103"/>
      <c r="V103"/>
      <c r="W103"/>
    </row>
    <row r="104" spans="12:23">
      <c r="L104" s="394" t="str">
        <f t="shared" si="5"/>
        <v/>
      </c>
      <c r="M104" s="394" t="str">
        <f>IF(OR(L104="",COUNTIF($M$4:M103,IF(ISERROR($R104*1),LEFT($R104,2)*1,$R104*1))&gt;=1),"-",IF(ISERROR($R104*1),LEFT($R104,2)*1,$R104*1))</f>
        <v>-</v>
      </c>
      <c r="N104" s="394" t="str">
        <f>IF(OR(L104="",COUNTIF($N$4:N103,V104*1)&gt;=1),"-",V104*1)</f>
        <v>-</v>
      </c>
      <c r="O104" s="398"/>
      <c r="P104"/>
      <c r="Q104"/>
      <c r="R104"/>
      <c r="S104"/>
      <c r="T104"/>
      <c r="U104"/>
      <c r="V104"/>
      <c r="W104"/>
    </row>
    <row r="105" spans="12:23">
      <c r="L105" s="394" t="str">
        <f t="shared" si="5"/>
        <v/>
      </c>
      <c r="M105" s="394" t="str">
        <f>IF(OR(L105="",COUNTIF($M$4:M104,IF(ISERROR($R105*1),LEFT($R105,2)*1,$R105*1))&gt;=1),"-",IF(ISERROR($R105*1),LEFT($R105,2)*1,$R105*1))</f>
        <v>-</v>
      </c>
      <c r="N105" s="394" t="str">
        <f>IF(OR(L105="",COUNTIF($N$4:N104,V105*1)&gt;=1),"-",V105*1)</f>
        <v>-</v>
      </c>
      <c r="O105" s="398"/>
      <c r="P105"/>
      <c r="Q105"/>
      <c r="R105"/>
      <c r="S105"/>
      <c r="T105"/>
      <c r="U105"/>
      <c r="V105"/>
      <c r="W105"/>
    </row>
    <row r="106" spans="12:23">
      <c r="L106" s="394" t="str">
        <f t="shared" si="5"/>
        <v/>
      </c>
      <c r="M106" s="394" t="str">
        <f>IF(OR(L106="",COUNTIF($M$4:M105,IF(ISERROR($R106*1),LEFT($R106,2)*1,$R106*1))&gt;=1),"-",IF(ISERROR($R106*1),LEFT($R106,2)*1,$R106*1))</f>
        <v>-</v>
      </c>
      <c r="N106" s="394" t="str">
        <f>IF(OR(L106="",COUNTIF($N$4:N105,V106*1)&gt;=1),"-",V106*1)</f>
        <v>-</v>
      </c>
      <c r="O106" s="398"/>
      <c r="P106"/>
      <c r="Q106"/>
      <c r="R106"/>
      <c r="S106"/>
      <c r="T106"/>
      <c r="U106"/>
      <c r="V106"/>
      <c r="W106"/>
    </row>
    <row r="107" spans="12:23">
      <c r="L107" s="394" t="str">
        <f t="shared" si="5"/>
        <v/>
      </c>
      <c r="M107" s="394" t="str">
        <f>IF(OR(L107="",COUNTIF($M$4:M106,IF(ISERROR($R107*1),LEFT($R107,2)*1,$R107*1))&gt;=1),"-",IF(ISERROR($R107*1),LEFT($R107,2)*1,$R107*1))</f>
        <v>-</v>
      </c>
      <c r="N107" s="394" t="str">
        <f>IF(OR(L107="",COUNTIF($N$4:N106,V107*1)&gt;=1),"-",V107*1)</f>
        <v>-</v>
      </c>
      <c r="O107" s="398"/>
      <c r="P107"/>
      <c r="Q107"/>
      <c r="R107"/>
      <c r="S107"/>
      <c r="T107"/>
      <c r="U107"/>
      <c r="V107"/>
      <c r="W107"/>
    </row>
    <row r="108" spans="12:23">
      <c r="L108" s="394" t="str">
        <f t="shared" si="5"/>
        <v/>
      </c>
      <c r="M108" s="394" t="str">
        <f>IF(OR(L108="",COUNTIF($M$4:M107,IF(ISERROR($R108*1),LEFT($R108,2)*1,$R108*1))&gt;=1),"-",IF(ISERROR($R108*1),LEFT($R108,2)*1,$R108*1))</f>
        <v>-</v>
      </c>
      <c r="N108" s="394" t="str">
        <f>IF(OR(L108="",COUNTIF($N$4:N107,V108*1)&gt;=1),"-",V108*1)</f>
        <v>-</v>
      </c>
      <c r="O108" s="398"/>
      <c r="P108"/>
      <c r="Q108"/>
      <c r="R108"/>
      <c r="S108"/>
      <c r="T108"/>
      <c r="U108"/>
      <c r="V108"/>
      <c r="W108"/>
    </row>
    <row r="109" spans="12:23">
      <c r="L109" s="394" t="str">
        <f t="shared" si="5"/>
        <v/>
      </c>
      <c r="M109" s="394" t="str">
        <f>IF(OR(L109="",COUNTIF($M$4:M108,IF(ISERROR($R109*1),LEFT($R109,2)*1,$R109*1))&gt;=1),"-",IF(ISERROR($R109*1),LEFT($R109,2)*1,$R109*1))</f>
        <v>-</v>
      </c>
      <c r="N109" s="394" t="str">
        <f>IF(OR(L109="",COUNTIF($N$4:N108,V109*1)&gt;=1),"-",V109*1)</f>
        <v>-</v>
      </c>
      <c r="O109" s="398"/>
      <c r="P109"/>
      <c r="Q109"/>
      <c r="R109"/>
      <c r="S109"/>
      <c r="T109"/>
      <c r="U109"/>
      <c r="V109"/>
      <c r="W109"/>
    </row>
    <row r="110" spans="12:23">
      <c r="L110" s="394" t="str">
        <f t="shared" si="5"/>
        <v/>
      </c>
      <c r="M110" s="394" t="str">
        <f>IF(OR(L110="",COUNTIF($M$4:M109,IF(ISERROR($R110*1),LEFT($R110,2)*1,$R110*1))&gt;=1),"-",IF(ISERROR($R110*1),LEFT($R110,2)*1,$R110*1))</f>
        <v>-</v>
      </c>
      <c r="N110" s="394" t="str">
        <f>IF(OR(L110="",COUNTIF($N$4:N109,V110*1)&gt;=1),"-",V110*1)</f>
        <v>-</v>
      </c>
      <c r="O110" s="398"/>
      <c r="P110"/>
      <c r="Q110"/>
      <c r="R110"/>
      <c r="S110"/>
      <c r="T110"/>
      <c r="U110"/>
      <c r="V110"/>
      <c r="W110"/>
    </row>
    <row r="111" spans="12:23">
      <c r="L111" s="394" t="str">
        <f t="shared" si="5"/>
        <v/>
      </c>
      <c r="M111" s="394" t="str">
        <f>IF(OR(L111="",COUNTIF($M$4:M110,IF(ISERROR($R111*1),LEFT($R111,2)*1,$R111*1))&gt;=1),"-",IF(ISERROR($R111*1),LEFT($R111,2)*1,$R111*1))</f>
        <v>-</v>
      </c>
      <c r="N111" s="394" t="str">
        <f>IF(OR(L111="",COUNTIF($N$4:N110,V111*1)&gt;=1),"-",V111*1)</f>
        <v>-</v>
      </c>
      <c r="O111" s="398"/>
      <c r="P111"/>
      <c r="Q111"/>
      <c r="R111"/>
      <c r="S111"/>
      <c r="T111"/>
      <c r="U111"/>
      <c r="V111"/>
      <c r="W111"/>
    </row>
    <row r="112" spans="12:23">
      <c r="L112" s="394" t="str">
        <f t="shared" si="5"/>
        <v/>
      </c>
      <c r="M112" s="394" t="str">
        <f>IF(OR(L112="",COUNTIF($M$4:M111,IF(ISERROR($R112*1),LEFT($R112,2)*1,$R112*1))&gt;=1),"-",IF(ISERROR($R112*1),LEFT($R112,2)*1,$R112*1))</f>
        <v>-</v>
      </c>
      <c r="N112" s="394" t="str">
        <f>IF(OR(L112="",COUNTIF($N$4:N111,V112*1)&gt;=1),"-",V112*1)</f>
        <v>-</v>
      </c>
      <c r="O112" s="398"/>
      <c r="P112"/>
      <c r="Q112"/>
      <c r="R112"/>
      <c r="S112"/>
      <c r="T112"/>
      <c r="U112"/>
      <c r="V112"/>
      <c r="W112"/>
    </row>
    <row r="113" spans="12:23">
      <c r="L113" s="394" t="str">
        <f t="shared" si="5"/>
        <v/>
      </c>
      <c r="M113" s="394" t="str">
        <f>IF(OR(L113="",COUNTIF($M$4:M112,IF(ISERROR($R113*1),LEFT($R113,2)*1,$R113*1))&gt;=1),"-",IF(ISERROR($R113*1),LEFT($R113,2)*1,$R113*1))</f>
        <v>-</v>
      </c>
      <c r="N113" s="394" t="str">
        <f>IF(OR(L113="",COUNTIF($N$4:N112,V113*1)&gt;=1),"-",V113*1)</f>
        <v>-</v>
      </c>
      <c r="O113" s="398"/>
      <c r="P113"/>
      <c r="Q113"/>
      <c r="R113"/>
      <c r="S113"/>
      <c r="T113"/>
      <c r="U113"/>
      <c r="V113"/>
      <c r="W113"/>
    </row>
    <row r="114" spans="12:23">
      <c r="L114" s="394" t="str">
        <f t="shared" si="5"/>
        <v/>
      </c>
      <c r="M114" s="394" t="str">
        <f>IF(OR(L114="",COUNTIF($M$4:M113,IF(ISERROR($R114*1),LEFT($R114,2)*1,$R114*1))&gt;=1),"-",IF(ISERROR($R114*1),LEFT($R114,2)*1,$R114*1))</f>
        <v>-</v>
      </c>
      <c r="N114" s="394" t="str">
        <f>IF(OR(L114="",COUNTIF($N$4:N113,V114*1)&gt;=1),"-",V114*1)</f>
        <v>-</v>
      </c>
      <c r="O114" s="398"/>
      <c r="P114"/>
      <c r="Q114"/>
      <c r="R114"/>
      <c r="S114"/>
      <c r="T114"/>
      <c r="U114"/>
      <c r="V114"/>
      <c r="W114"/>
    </row>
    <row r="115" spans="12:23">
      <c r="L115" s="394" t="str">
        <f t="shared" si="5"/>
        <v/>
      </c>
      <c r="M115" s="394" t="str">
        <f>IF(OR(L115="",COUNTIF($M$4:M114,IF(ISERROR($R115*1),LEFT($R115,2)*1,$R115*1))&gt;=1),"-",IF(ISERROR($R115*1),LEFT($R115,2)*1,$R115*1))</f>
        <v>-</v>
      </c>
      <c r="N115" s="394" t="str">
        <f>IF(OR(L115="",COUNTIF($N$4:N114,V115*1)&gt;=1),"-",V115*1)</f>
        <v>-</v>
      </c>
      <c r="O115" s="398"/>
      <c r="P115"/>
      <c r="Q115"/>
      <c r="R115"/>
      <c r="S115"/>
      <c r="T115"/>
      <c r="U115"/>
      <c r="V115"/>
      <c r="W115"/>
    </row>
    <row r="116" spans="12:23">
      <c r="L116" s="394" t="str">
        <f t="shared" si="5"/>
        <v/>
      </c>
      <c r="M116" s="394" t="str">
        <f>IF(OR(L116="",COUNTIF($M$4:M115,IF(ISERROR($R116*1),LEFT($R116,2)*1,$R116*1))&gt;=1),"-",IF(ISERROR($R116*1),LEFT($R116,2)*1,$R116*1))</f>
        <v>-</v>
      </c>
      <c r="N116" s="394" t="str">
        <f>IF(OR(L116="",COUNTIF($N$4:N115,V116*1)&gt;=1),"-",V116*1)</f>
        <v>-</v>
      </c>
      <c r="O116" s="398"/>
      <c r="P116"/>
      <c r="Q116"/>
      <c r="R116"/>
      <c r="S116"/>
      <c r="T116"/>
      <c r="U116"/>
      <c r="V116"/>
      <c r="W116"/>
    </row>
    <row r="117" spans="12:23">
      <c r="L117" s="394" t="str">
        <f t="shared" si="5"/>
        <v/>
      </c>
      <c r="M117" s="394" t="str">
        <f>IF(OR(L117="",COUNTIF($M$4:M116,IF(ISERROR($R117*1),LEFT($R117,2)*1,$R117*1))&gt;=1),"-",IF(ISERROR($R117*1),LEFT($R117,2)*1,$R117*1))</f>
        <v>-</v>
      </c>
      <c r="N117" s="394" t="str">
        <f>IF(OR(L117="",COUNTIF($N$4:N116,V117*1)&gt;=1),"-",V117*1)</f>
        <v>-</v>
      </c>
      <c r="O117" s="398"/>
      <c r="P117"/>
      <c r="Q117"/>
      <c r="R117"/>
      <c r="S117"/>
      <c r="T117"/>
      <c r="U117"/>
      <c r="V117"/>
      <c r="W117"/>
    </row>
    <row r="118" spans="12:23">
      <c r="L118" s="394" t="str">
        <f t="shared" si="5"/>
        <v/>
      </c>
      <c r="M118" s="394" t="str">
        <f>IF(OR(L118="",COUNTIF($M$4:M117,IF(ISERROR($R118*1),LEFT($R118,2)*1,$R118*1))&gt;=1),"-",IF(ISERROR($R118*1),LEFT($R118,2)*1,$R118*1))</f>
        <v>-</v>
      </c>
      <c r="N118" s="394" t="str">
        <f>IF(OR(L118="",COUNTIF($N$4:N117,V118*1)&gt;=1),"-",V118*1)</f>
        <v>-</v>
      </c>
      <c r="O118" s="398"/>
      <c r="P118"/>
      <c r="Q118"/>
      <c r="R118"/>
      <c r="S118"/>
      <c r="T118"/>
      <c r="U118"/>
      <c r="V118"/>
      <c r="W118"/>
    </row>
    <row r="119" spans="12:23">
      <c r="L119" s="394" t="str">
        <f t="shared" si="5"/>
        <v/>
      </c>
      <c r="M119" s="394" t="str">
        <f>IF(OR(L119="",COUNTIF($M$4:M118,IF(ISERROR($R119*1),LEFT($R119,2)*1,$R119*1))&gt;=1),"-",IF(ISERROR($R119*1),LEFT($R119,2)*1,$R119*1))</f>
        <v>-</v>
      </c>
      <c r="N119" s="394" t="str">
        <f>IF(OR(L119="",COUNTIF($N$4:N118,V119*1)&gt;=1),"-",V119*1)</f>
        <v>-</v>
      </c>
      <c r="O119" s="398"/>
      <c r="P119"/>
      <c r="Q119"/>
      <c r="R119"/>
      <c r="S119"/>
      <c r="T119"/>
      <c r="U119"/>
      <c r="V119"/>
      <c r="W119"/>
    </row>
    <row r="120" spans="12:23">
      <c r="L120" s="394" t="str">
        <f t="shared" si="5"/>
        <v/>
      </c>
      <c r="M120" s="394" t="str">
        <f>IF(OR(L120="",COUNTIF($M$4:M119,IF(ISERROR($R120*1),LEFT($R120,2)*1,$R120*1))&gt;=1),"-",IF(ISERROR($R120*1),LEFT($R120,2)*1,$R120*1))</f>
        <v>-</v>
      </c>
      <c r="N120" s="394" t="str">
        <f>IF(OR(L120="",COUNTIF($N$4:N119,V120*1)&gt;=1),"-",V120*1)</f>
        <v>-</v>
      </c>
      <c r="O120" s="398"/>
      <c r="P120"/>
      <c r="Q120"/>
      <c r="R120"/>
      <c r="S120"/>
      <c r="T120"/>
      <c r="U120"/>
      <c r="V120"/>
      <c r="W120"/>
    </row>
    <row r="121" spans="12:23">
      <c r="L121" s="394" t="str">
        <f t="shared" si="5"/>
        <v/>
      </c>
      <c r="M121" s="394" t="str">
        <f>IF(OR(L121="",COUNTIF($M$4:M120,IF(ISERROR($R121*1),LEFT($R121,2)*1,$R121*1))&gt;=1),"-",IF(ISERROR($R121*1),LEFT($R121,2)*1,$R121*1))</f>
        <v>-</v>
      </c>
      <c r="N121" s="394" t="str">
        <f>IF(OR(L121="",COUNTIF($N$4:N120,V121*1)&gt;=1),"-",V121*1)</f>
        <v>-</v>
      </c>
      <c r="O121" s="398"/>
      <c r="P121"/>
      <c r="Q121"/>
      <c r="R121"/>
      <c r="S121"/>
      <c r="T121"/>
      <c r="U121"/>
      <c r="V121"/>
      <c r="W121"/>
    </row>
    <row r="122" spans="12:23">
      <c r="L122" s="394" t="str">
        <f t="shared" si="5"/>
        <v/>
      </c>
      <c r="M122" s="394" t="str">
        <f>IF(OR(L122="",COUNTIF($M$4:M121,IF(ISERROR($R122*1),LEFT($R122,2)*1,$R122*1))&gt;=1),"-",IF(ISERROR($R122*1),LEFT($R122,2)*1,$R122*1))</f>
        <v>-</v>
      </c>
      <c r="N122" s="394" t="str">
        <f>IF(OR(L122="",COUNTIF($N$4:N121,V122*1)&gt;=1),"-",V122*1)</f>
        <v>-</v>
      </c>
      <c r="O122" s="398"/>
      <c r="P122"/>
      <c r="Q122"/>
      <c r="R122"/>
      <c r="S122"/>
      <c r="T122"/>
      <c r="U122"/>
      <c r="V122"/>
      <c r="W122"/>
    </row>
    <row r="123" spans="12:23">
      <c r="L123" s="394" t="str">
        <f t="shared" si="5"/>
        <v/>
      </c>
      <c r="M123" s="394" t="str">
        <f>IF(OR(L123="",COUNTIF($M$4:M122,IF(ISERROR($R123*1),LEFT($R123,2)*1,$R123*1))&gt;=1),"-",IF(ISERROR($R123*1),LEFT($R123,2)*1,$R123*1))</f>
        <v>-</v>
      </c>
      <c r="N123" s="394" t="str">
        <f>IF(OR(L123="",COUNTIF($N$4:N122,V123*1)&gt;=1),"-",V123*1)</f>
        <v>-</v>
      </c>
      <c r="O123" s="398"/>
      <c r="P123"/>
      <c r="Q123"/>
      <c r="R123"/>
      <c r="S123"/>
      <c r="T123"/>
      <c r="U123"/>
      <c r="V123"/>
      <c r="W123"/>
    </row>
    <row r="124" spans="12:23">
      <c r="L124" s="394" t="str">
        <f t="shared" si="5"/>
        <v/>
      </c>
      <c r="M124" s="394" t="str">
        <f>IF(OR(L124="",COUNTIF($M$4:M123,IF(ISERROR($R124*1),LEFT($R124,2)*1,$R124*1))&gt;=1),"-",IF(ISERROR($R124*1),LEFT($R124,2)*1,$R124*1))</f>
        <v>-</v>
      </c>
      <c r="N124" s="394" t="str">
        <f>IF(OR(L124="",COUNTIF($N$4:N123,V124*1)&gt;=1),"-",V124*1)</f>
        <v>-</v>
      </c>
      <c r="O124" s="409"/>
      <c r="P124"/>
      <c r="Q124"/>
      <c r="R124"/>
      <c r="S124"/>
      <c r="T124"/>
      <c r="U124"/>
      <c r="V124"/>
      <c r="W124"/>
    </row>
    <row r="125" spans="12:23">
      <c r="L125" s="394" t="str">
        <f t="shared" si="5"/>
        <v/>
      </c>
      <c r="M125" s="394" t="str">
        <f>IF(OR(L125="",COUNTIF($M$4:M124,IF(ISERROR($R125*1),LEFT($R125,2)*1,$R125*1))&gt;=1),"-",IF(ISERROR($R125*1),LEFT($R125,2)*1,$R125*1))</f>
        <v>-</v>
      </c>
      <c r="N125" s="394" t="str">
        <f>IF(OR(L125="",COUNTIF($N$4:N124,V125*1)&gt;=1),"-",V125*1)</f>
        <v>-</v>
      </c>
      <c r="O125" s="409"/>
      <c r="P125"/>
      <c r="Q125"/>
      <c r="R125"/>
      <c r="S125"/>
      <c r="T125"/>
      <c r="U125"/>
      <c r="V125"/>
      <c r="W125"/>
    </row>
    <row r="126" spans="12:23">
      <c r="L126" s="394" t="str">
        <f t="shared" si="5"/>
        <v/>
      </c>
      <c r="M126" s="394" t="str">
        <f>IF(OR(L126="",COUNTIF($M$4:M125,IF(ISERROR($R126*1),LEFT($R126,2)*1,$R126*1))&gt;=1),"-",IF(ISERROR($R126*1),LEFT($R126,2)*1,$R126*1))</f>
        <v>-</v>
      </c>
      <c r="N126" s="394" t="str">
        <f>IF(OR(L126="",COUNTIF($N$4:N125,V126*1)&gt;=1),"-",V126*1)</f>
        <v>-</v>
      </c>
      <c r="O126" s="409"/>
      <c r="P126"/>
      <c r="Q126"/>
      <c r="R126"/>
      <c r="S126"/>
      <c r="T126"/>
      <c r="U126"/>
      <c r="V126"/>
      <c r="W126"/>
    </row>
    <row r="127" spans="12:23">
      <c r="L127" s="394" t="str">
        <f t="shared" si="5"/>
        <v/>
      </c>
      <c r="M127" s="394" t="str">
        <f>IF(OR(L127="",COUNTIF($M$4:M126,IF(ISERROR($R127*1),LEFT($R127,2)*1,$R127*1))&gt;=1),"-",IF(ISERROR($R127*1),LEFT($R127,2)*1,$R127*1))</f>
        <v>-</v>
      </c>
      <c r="N127" s="394" t="str">
        <f>IF(OR(L127="",COUNTIF($N$4:N126,V127*1)&gt;=1),"-",V127*1)</f>
        <v>-</v>
      </c>
      <c r="O127" s="409"/>
      <c r="P127"/>
      <c r="Q127"/>
      <c r="R127"/>
      <c r="S127"/>
      <c r="T127"/>
      <c r="U127"/>
      <c r="V127"/>
      <c r="W127"/>
    </row>
    <row r="128" spans="12:23">
      <c r="L128" s="394" t="str">
        <f t="shared" si="5"/>
        <v/>
      </c>
      <c r="M128" s="394" t="str">
        <f>IF(OR(L128="",COUNTIF($M$4:M127,IF(ISERROR($R128*1),LEFT($R128,2)*1,$R128*1))&gt;=1),"-",IF(ISERROR($R128*1),LEFT($R128,2)*1,$R128*1))</f>
        <v>-</v>
      </c>
      <c r="N128" s="394" t="str">
        <f>IF(OR(L128="",COUNTIF($N$4:N127,V128*1)&gt;=1),"-",V128*1)</f>
        <v>-</v>
      </c>
      <c r="O128" s="409"/>
      <c r="P128"/>
      <c r="Q128"/>
      <c r="R128"/>
      <c r="S128"/>
      <c r="T128"/>
      <c r="U128"/>
      <c r="V128"/>
      <c r="W128"/>
    </row>
    <row r="129" spans="12:23">
      <c r="L129" s="394" t="str">
        <f t="shared" si="5"/>
        <v/>
      </c>
      <c r="M129" s="394" t="str">
        <f>IF(OR(L129="",COUNTIF($M$4:M128,IF(ISERROR($R129*1),LEFT($R129,2)*1,$R129*1))&gt;=1),"-",IF(ISERROR($R129*1),LEFT($R129,2)*1,$R129*1))</f>
        <v>-</v>
      </c>
      <c r="N129" s="394" t="str">
        <f>IF(OR(L129="",COUNTIF($N$4:N128,V129*1)&gt;=1),"-",V129*1)</f>
        <v>-</v>
      </c>
      <c r="O129" s="409"/>
      <c r="P129"/>
      <c r="Q129"/>
      <c r="R129"/>
      <c r="S129"/>
      <c r="T129"/>
      <c r="U129"/>
      <c r="V129"/>
      <c r="W129"/>
    </row>
    <row r="130" spans="12:23">
      <c r="L130" s="394" t="str">
        <f t="shared" si="5"/>
        <v/>
      </c>
      <c r="M130" s="394" t="str">
        <f>IF(OR(L130="",COUNTIF($M$4:M129,IF(ISERROR($R130*1),LEFT($R130,2)*1,$R130*1))&gt;=1),"-",IF(ISERROR($R130*1),LEFT($R130,2)*1,$R130*1))</f>
        <v>-</v>
      </c>
      <c r="N130" s="394" t="str">
        <f>IF(OR(L130="",COUNTIF($N$4:N129,V130*1)&gt;=1),"-",V130*1)</f>
        <v>-</v>
      </c>
      <c r="O130" s="409"/>
      <c r="P130"/>
      <c r="Q130"/>
      <c r="R130"/>
      <c r="S130"/>
      <c r="T130"/>
      <c r="U130"/>
      <c r="V130"/>
      <c r="W130"/>
    </row>
    <row r="131" spans="12:23">
      <c r="L131" s="394" t="str">
        <f t="shared" si="5"/>
        <v/>
      </c>
      <c r="M131" s="394" t="str">
        <f>IF(OR(L131="",COUNTIF($M$4:M130,IF(ISERROR($R131*1),LEFT($R131,2)*1,$R131*1))&gt;=1),"-",IF(ISERROR($R131*1),LEFT($R131,2)*1,$R131*1))</f>
        <v>-</v>
      </c>
      <c r="N131" s="394" t="str">
        <f>IF(OR(L131="",COUNTIF($N$4:N130,V131*1)&gt;=1),"-",V131*1)</f>
        <v>-</v>
      </c>
      <c r="O131" s="409"/>
      <c r="P131"/>
      <c r="Q131"/>
      <c r="R131"/>
      <c r="S131"/>
      <c r="T131"/>
      <c r="U131"/>
      <c r="V131"/>
      <c r="W131"/>
    </row>
    <row r="132" spans="12:23">
      <c r="L132" s="394" t="str">
        <f t="shared" ref="L132:L195" si="6">IF(P132&lt;&gt;$B$1,"",P132&amp;Q132&amp;R132&amp;V132)</f>
        <v/>
      </c>
      <c r="M132" s="394" t="str">
        <f>IF(OR(L132="",COUNTIF($M$4:M131,IF(ISERROR($R132*1),LEFT($R132,2)*1,$R132*1))&gt;=1),"-",IF(ISERROR($R132*1),LEFT($R132,2)*1,$R132*1))</f>
        <v>-</v>
      </c>
      <c r="N132" s="394" t="str">
        <f>IF(OR(L132="",COUNTIF($N$4:N131,V132*1)&gt;=1),"-",V132*1)</f>
        <v>-</v>
      </c>
      <c r="O132" s="409"/>
      <c r="P132"/>
      <c r="Q132"/>
      <c r="R132"/>
      <c r="S132"/>
      <c r="T132"/>
      <c r="U132"/>
      <c r="V132"/>
      <c r="W132"/>
    </row>
    <row r="133" spans="12:23">
      <c r="L133" s="394" t="str">
        <f t="shared" si="6"/>
        <v/>
      </c>
      <c r="M133" s="394" t="str">
        <f>IF(OR(L133="",COUNTIF($M$4:M132,IF(ISERROR($R133*1),LEFT($R133,2)*1,$R133*1))&gt;=1),"-",IF(ISERROR($R133*1),LEFT($R133,2)*1,$R133*1))</f>
        <v>-</v>
      </c>
      <c r="N133" s="394" t="str">
        <f>IF(OR(L133="",COUNTIF($N$4:N132,V133*1)&gt;=1),"-",V133*1)</f>
        <v>-</v>
      </c>
      <c r="O133" s="409"/>
      <c r="P133"/>
      <c r="Q133"/>
      <c r="R133"/>
      <c r="S133"/>
      <c r="T133"/>
      <c r="U133"/>
      <c r="V133"/>
      <c r="W133"/>
    </row>
    <row r="134" spans="12:23">
      <c r="L134" s="394" t="str">
        <f t="shared" si="6"/>
        <v/>
      </c>
      <c r="M134" s="394" t="str">
        <f>IF(OR(L134="",COUNTIF($M$4:M133,IF(ISERROR($R134*1),LEFT($R134,2)*1,$R134*1))&gt;=1),"-",IF(ISERROR($R134*1),LEFT($R134,2)*1,$R134*1))</f>
        <v>-</v>
      </c>
      <c r="N134" s="394" t="str">
        <f>IF(OR(L134="",COUNTIF($N$4:N133,V134*1)&gt;=1),"-",V134*1)</f>
        <v>-</v>
      </c>
      <c r="O134" s="409"/>
      <c r="P134"/>
      <c r="Q134"/>
      <c r="R134"/>
      <c r="S134"/>
      <c r="T134"/>
      <c r="U134"/>
      <c r="V134"/>
      <c r="W134"/>
    </row>
    <row r="135" spans="12:23">
      <c r="L135" s="394" t="str">
        <f t="shared" si="6"/>
        <v/>
      </c>
      <c r="M135" s="394" t="str">
        <f>IF(OR(L135="",COUNTIF($M$4:M134,IF(ISERROR($R135*1),LEFT($R135,2)*1,$R135*1))&gt;=1),"-",IF(ISERROR($R135*1),LEFT($R135,2)*1,$R135*1))</f>
        <v>-</v>
      </c>
      <c r="N135" s="394" t="str">
        <f>IF(OR(L135="",COUNTIF($N$4:N134,V135*1)&gt;=1),"-",V135*1)</f>
        <v>-</v>
      </c>
      <c r="O135" s="409"/>
      <c r="P135"/>
      <c r="Q135"/>
      <c r="R135"/>
      <c r="S135"/>
      <c r="T135"/>
      <c r="U135"/>
      <c r="V135"/>
      <c r="W135"/>
    </row>
    <row r="136" spans="12:23">
      <c r="L136" s="394" t="str">
        <f t="shared" si="6"/>
        <v/>
      </c>
      <c r="M136" s="394" t="str">
        <f>IF(OR(L136="",COUNTIF($M$4:M135,IF(ISERROR($R136*1),LEFT($R136,2)*1,$R136*1))&gt;=1),"-",IF(ISERROR($R136*1),LEFT($R136,2)*1,$R136*1))</f>
        <v>-</v>
      </c>
      <c r="N136" s="394" t="str">
        <f>IF(OR(L136="",COUNTIF($N$4:N135,V136*1)&gt;=1),"-",V136*1)</f>
        <v>-</v>
      </c>
      <c r="O136" s="409"/>
      <c r="P136"/>
      <c r="Q136"/>
      <c r="R136"/>
      <c r="S136"/>
      <c r="T136"/>
      <c r="U136"/>
      <c r="V136"/>
      <c r="W136"/>
    </row>
    <row r="137" spans="12:23">
      <c r="L137" s="394" t="str">
        <f t="shared" si="6"/>
        <v/>
      </c>
      <c r="M137" s="394" t="str">
        <f>IF(OR(L137="",COUNTIF($M$4:M136,IF(ISERROR($R137*1),LEFT($R137,2)*1,$R137*1))&gt;=1),"-",IF(ISERROR($R137*1),LEFT($R137,2)*1,$R137*1))</f>
        <v>-</v>
      </c>
      <c r="N137" s="394" t="str">
        <f>IF(OR(L137="",COUNTIF($N$4:N136,V137*1)&gt;=1),"-",V137*1)</f>
        <v>-</v>
      </c>
      <c r="O137" s="409"/>
      <c r="P137"/>
      <c r="Q137"/>
      <c r="R137"/>
      <c r="S137"/>
      <c r="T137"/>
      <c r="U137"/>
      <c r="V137"/>
      <c r="W137"/>
    </row>
    <row r="138" spans="12:23">
      <c r="L138" s="394" t="str">
        <f t="shared" si="6"/>
        <v/>
      </c>
      <c r="M138" s="394" t="str">
        <f>IF(OR(L138="",COUNTIF($M$4:M137,IF(ISERROR($R138*1),LEFT($R138,2)*1,$R138*1))&gt;=1),"-",IF(ISERROR($R138*1),LEFT($R138,2)*1,$R138*1))</f>
        <v>-</v>
      </c>
      <c r="N138" s="394" t="str">
        <f>IF(OR(L138="",COUNTIF($N$4:N137,V138*1)&gt;=1),"-",V138*1)</f>
        <v>-</v>
      </c>
      <c r="O138" s="409"/>
      <c r="P138"/>
      <c r="Q138"/>
      <c r="R138"/>
      <c r="S138"/>
      <c r="T138"/>
      <c r="U138"/>
      <c r="V138"/>
      <c r="W138"/>
    </row>
    <row r="139" spans="12:23">
      <c r="L139" s="394" t="str">
        <f t="shared" si="6"/>
        <v/>
      </c>
      <c r="M139" s="394" t="str">
        <f>IF(OR(L139="",COUNTIF($M$4:M138,IF(ISERROR($R139*1),LEFT($R139,2)*1,$R139*1))&gt;=1),"-",IF(ISERROR($R139*1),LEFT($R139,2)*1,$R139*1))</f>
        <v>-</v>
      </c>
      <c r="N139" s="394" t="str">
        <f>IF(OR(L139="",COUNTIF($N$4:N138,V139*1)&gt;=1),"-",V139*1)</f>
        <v>-</v>
      </c>
      <c r="O139" s="409"/>
      <c r="P139"/>
      <c r="Q139"/>
      <c r="R139"/>
      <c r="S139"/>
      <c r="T139"/>
      <c r="U139"/>
      <c r="V139"/>
      <c r="W139"/>
    </row>
    <row r="140" spans="12:23">
      <c r="L140" s="394" t="str">
        <f t="shared" si="6"/>
        <v/>
      </c>
      <c r="M140" s="394" t="str">
        <f>IF(OR(L140="",COUNTIF($M$4:M139,IF(ISERROR($R140*1),LEFT($R140,2)*1,$R140*1))&gt;=1),"-",IF(ISERROR($R140*1),LEFT($R140,2)*1,$R140*1))</f>
        <v>-</v>
      </c>
      <c r="N140" s="394" t="str">
        <f>IF(OR(L140="",COUNTIF($N$4:N139,V140*1)&gt;=1),"-",V140*1)</f>
        <v>-</v>
      </c>
      <c r="O140" s="409"/>
      <c r="P140"/>
      <c r="Q140"/>
      <c r="R140"/>
      <c r="S140"/>
      <c r="T140"/>
      <c r="U140"/>
      <c r="V140"/>
      <c r="W140"/>
    </row>
    <row r="141" spans="12:23">
      <c r="L141" s="394" t="str">
        <f t="shared" si="6"/>
        <v/>
      </c>
      <c r="M141" s="394" t="str">
        <f>IF(OR(L141="",COUNTIF($M$4:M140,IF(ISERROR($R141*1),LEFT($R141,2)*1,$R141*1))&gt;=1),"-",IF(ISERROR($R141*1),LEFT($R141,2)*1,$R141*1))</f>
        <v>-</v>
      </c>
      <c r="N141" s="394" t="str">
        <f>IF(OR(L141="",COUNTIF($N$4:N140,V141*1)&gt;=1),"-",V141*1)</f>
        <v>-</v>
      </c>
      <c r="O141" s="409"/>
      <c r="P141"/>
      <c r="Q141"/>
      <c r="R141"/>
      <c r="S141"/>
      <c r="T141"/>
      <c r="U141"/>
      <c r="V141"/>
      <c r="W141"/>
    </row>
    <row r="142" spans="12:23">
      <c r="L142" s="394" t="str">
        <f t="shared" si="6"/>
        <v/>
      </c>
      <c r="M142" s="394" t="str">
        <f>IF(OR(L142="",COUNTIF($M$4:M141,IF(ISERROR($R142*1),LEFT($R142,2)*1,$R142*1))&gt;=1),"-",IF(ISERROR($R142*1),LEFT($R142,2)*1,$R142*1))</f>
        <v>-</v>
      </c>
      <c r="N142" s="394" t="str">
        <f>IF(OR(L142="",COUNTIF($N$4:N141,V142*1)&gt;=1),"-",V142*1)</f>
        <v>-</v>
      </c>
      <c r="O142" s="409"/>
      <c r="P142"/>
      <c r="Q142"/>
      <c r="R142"/>
      <c r="S142"/>
      <c r="T142"/>
      <c r="U142"/>
      <c r="V142"/>
      <c r="W142"/>
    </row>
    <row r="143" spans="12:23">
      <c r="L143" s="394" t="str">
        <f t="shared" si="6"/>
        <v/>
      </c>
      <c r="M143" s="394" t="str">
        <f>IF(OR(L143="",COUNTIF($M$4:M142,IF(ISERROR($R143*1),LEFT($R143,2)*1,$R143*1))&gt;=1),"-",IF(ISERROR($R143*1),LEFT($R143,2)*1,$R143*1))</f>
        <v>-</v>
      </c>
      <c r="N143" s="394" t="str">
        <f>IF(OR(L143="",COUNTIF($N$4:N142,V143*1)&gt;=1),"-",V143*1)</f>
        <v>-</v>
      </c>
      <c r="O143" s="409"/>
      <c r="P143"/>
      <c r="Q143"/>
      <c r="R143"/>
      <c r="S143"/>
      <c r="T143"/>
      <c r="U143"/>
      <c r="V143"/>
      <c r="W143"/>
    </row>
    <row r="144" spans="12:23">
      <c r="L144" s="394" t="str">
        <f t="shared" si="6"/>
        <v/>
      </c>
      <c r="M144" s="394" t="str">
        <f>IF(OR(L144="",COUNTIF($M$4:M143,IF(ISERROR($R144*1),LEFT($R144,2)*1,$R144*1))&gt;=1),"-",IF(ISERROR($R144*1),LEFT($R144,2)*1,$R144*1))</f>
        <v>-</v>
      </c>
      <c r="N144" s="394" t="str">
        <f>IF(OR(L144="",COUNTIF($N$4:N143,V144*1)&gt;=1),"-",V144*1)</f>
        <v>-</v>
      </c>
      <c r="O144" s="409"/>
      <c r="P144"/>
      <c r="Q144"/>
      <c r="R144"/>
      <c r="S144"/>
      <c r="T144"/>
      <c r="U144"/>
      <c r="V144"/>
      <c r="W144"/>
    </row>
    <row r="145" spans="12:23">
      <c r="L145" s="394" t="str">
        <f t="shared" si="6"/>
        <v/>
      </c>
      <c r="M145" s="394" t="str">
        <f>IF(OR(L145="",COUNTIF($M$4:M144,IF(ISERROR($R145*1),LEFT($R145,2)*1,$R145*1))&gt;=1),"-",IF(ISERROR($R145*1),LEFT($R145,2)*1,$R145*1))</f>
        <v>-</v>
      </c>
      <c r="N145" s="394" t="str">
        <f>IF(OR(L145="",COUNTIF($N$4:N144,V145*1)&gt;=1),"-",V145*1)</f>
        <v>-</v>
      </c>
      <c r="O145" s="409"/>
      <c r="P145"/>
      <c r="Q145"/>
      <c r="R145"/>
      <c r="S145"/>
      <c r="T145"/>
      <c r="U145"/>
      <c r="V145"/>
      <c r="W145"/>
    </row>
    <row r="146" spans="12:23">
      <c r="L146" s="394" t="str">
        <f t="shared" si="6"/>
        <v/>
      </c>
      <c r="M146" s="394" t="str">
        <f>IF(OR(L146="",COUNTIF($M$4:M145,IF(ISERROR($R146*1),LEFT($R146,2)*1,$R146*1))&gt;=1),"-",IF(ISERROR($R146*1),LEFT($R146,2)*1,$R146*1))</f>
        <v>-</v>
      </c>
      <c r="N146" s="394" t="str">
        <f>IF(OR(L146="",COUNTIF($N$4:N145,V146*1)&gt;=1),"-",V146*1)</f>
        <v>-</v>
      </c>
      <c r="O146" s="409"/>
      <c r="P146"/>
      <c r="Q146"/>
      <c r="R146"/>
      <c r="S146"/>
      <c r="T146"/>
      <c r="U146"/>
      <c r="V146"/>
      <c r="W146"/>
    </row>
    <row r="147" spans="12:23">
      <c r="L147" s="394" t="str">
        <f t="shared" si="6"/>
        <v/>
      </c>
      <c r="M147" s="394" t="str">
        <f>IF(OR(L147="",COUNTIF($M$4:M146,IF(ISERROR($R147*1),LEFT($R147,2)*1,$R147*1))&gt;=1),"-",IF(ISERROR($R147*1),LEFT($R147,2)*1,$R147*1))</f>
        <v>-</v>
      </c>
      <c r="N147" s="394" t="str">
        <f>IF(OR(L147="",COUNTIF($N$4:N146,V147*1)&gt;=1),"-",V147*1)</f>
        <v>-</v>
      </c>
      <c r="O147" s="409"/>
      <c r="P147"/>
      <c r="Q147"/>
      <c r="R147"/>
      <c r="S147"/>
      <c r="T147"/>
      <c r="U147"/>
      <c r="V147"/>
      <c r="W147"/>
    </row>
    <row r="148" spans="12:23">
      <c r="L148" s="394" t="str">
        <f t="shared" si="6"/>
        <v/>
      </c>
      <c r="M148" s="394" t="str">
        <f>IF(OR(L148="",COUNTIF($M$4:M147,IF(ISERROR($R148*1),LEFT($R148,2)*1,$R148*1))&gt;=1),"-",IF(ISERROR($R148*1),LEFT($R148,2)*1,$R148*1))</f>
        <v>-</v>
      </c>
      <c r="N148" s="394" t="str">
        <f>IF(OR(L148="",COUNTIF($N$4:N147,V148*1)&gt;=1),"-",V148*1)</f>
        <v>-</v>
      </c>
      <c r="O148" s="409"/>
      <c r="P148" s="409"/>
      <c r="Q148" s="409"/>
      <c r="R148" s="409"/>
      <c r="S148" s="410"/>
      <c r="T148" s="411"/>
      <c r="U148" s="412"/>
      <c r="V148" s="410"/>
      <c r="W148" s="409"/>
    </row>
    <row r="149" spans="12:23">
      <c r="L149" s="394" t="str">
        <f t="shared" si="6"/>
        <v/>
      </c>
      <c r="M149" s="394" t="str">
        <f>IF(OR(L149="",COUNTIF($M$4:M148,IF(ISERROR($R149*1),LEFT($R149,2)*1,$R149*1))&gt;=1),"-",IF(ISERROR($R149*1),LEFT($R149,2)*1,$R149*1))</f>
        <v>-</v>
      </c>
      <c r="N149" s="394" t="str">
        <f>IF(OR(L149="",COUNTIF($N$4:N148,V149*1)&gt;=1),"-",V149*1)</f>
        <v>-</v>
      </c>
      <c r="O149" s="409"/>
      <c r="P149" s="409"/>
      <c r="Q149" s="409"/>
      <c r="R149" s="409"/>
      <c r="S149" s="410"/>
      <c r="T149" s="411"/>
      <c r="U149" s="412"/>
      <c r="V149" s="410"/>
      <c r="W149" s="409"/>
    </row>
    <row r="150" spans="12:23">
      <c r="L150" s="394" t="str">
        <f t="shared" si="6"/>
        <v/>
      </c>
      <c r="M150" s="394" t="str">
        <f>IF(OR(L150="",COUNTIF($M$4:M149,IF(ISERROR($R150*1),LEFT($R150,2)*1,$R150*1))&gt;=1),"-",IF(ISERROR($R150*1),LEFT($R150,2)*1,$R150*1))</f>
        <v>-</v>
      </c>
      <c r="N150" s="394" t="str">
        <f>IF(OR(L150="",COUNTIF($N$4:N149,V150*1)&gt;=1),"-",V150*1)</f>
        <v>-</v>
      </c>
      <c r="O150" s="409"/>
      <c r="P150" s="409"/>
      <c r="Q150" s="409"/>
      <c r="R150" s="409"/>
      <c r="S150" s="410"/>
      <c r="T150" s="411"/>
      <c r="U150" s="412"/>
      <c r="V150" s="410"/>
      <c r="W150" s="409"/>
    </row>
    <row r="151" spans="12:23">
      <c r="L151" s="394" t="str">
        <f t="shared" si="6"/>
        <v/>
      </c>
      <c r="M151" s="394" t="str">
        <f>IF(OR(L151="",COUNTIF($M$4:M150,IF(ISERROR($R151*1),LEFT($R151,2)*1,$R151*1))&gt;=1),"-",IF(ISERROR($R151*1),LEFT($R151,2)*1,$R151*1))</f>
        <v>-</v>
      </c>
      <c r="N151" s="394" t="str">
        <f>IF(OR(L151="",COUNTIF($N$4:N150,V151*1)&gt;=1),"-",V151*1)</f>
        <v>-</v>
      </c>
      <c r="O151" s="409"/>
      <c r="P151" s="409"/>
      <c r="Q151" s="409"/>
      <c r="R151" s="409"/>
      <c r="S151" s="410"/>
      <c r="T151" s="411"/>
      <c r="U151" s="412"/>
      <c r="V151" s="410"/>
      <c r="W151" s="409"/>
    </row>
    <row r="152" spans="12:23">
      <c r="L152" s="394" t="str">
        <f t="shared" si="6"/>
        <v/>
      </c>
      <c r="M152" s="394" t="str">
        <f>IF(OR(L152="",COUNTIF($M$4:M151,IF(ISERROR($R152*1),LEFT($R152,2)*1,$R152*1))&gt;=1),"-",IF(ISERROR($R152*1),LEFT($R152,2)*1,$R152*1))</f>
        <v>-</v>
      </c>
      <c r="N152" s="394" t="str">
        <f>IF(OR(L152="",COUNTIF($N$4:N151,V152*1)&gt;=1),"-",V152*1)</f>
        <v>-</v>
      </c>
      <c r="O152" s="409"/>
      <c r="P152" s="409"/>
      <c r="Q152" s="409"/>
      <c r="R152" s="409"/>
      <c r="S152" s="410"/>
      <c r="T152" s="411"/>
      <c r="U152" s="412"/>
      <c r="V152" s="410"/>
      <c r="W152" s="409"/>
    </row>
    <row r="153" spans="12:23">
      <c r="L153" s="394" t="str">
        <f t="shared" si="6"/>
        <v/>
      </c>
      <c r="M153" s="394" t="str">
        <f>IF(OR(L153="",COUNTIF($M$4:M152,IF(ISERROR($R153*1),LEFT($R153,2)*1,$R153*1))&gt;=1),"-",IF(ISERROR($R153*1),LEFT($R153,2)*1,$R153*1))</f>
        <v>-</v>
      </c>
      <c r="N153" s="394" t="str">
        <f>IF(OR(L153="",COUNTIF($N$4:N152,V153*1)&gt;=1),"-",V153*1)</f>
        <v>-</v>
      </c>
      <c r="O153" s="409"/>
      <c r="P153" s="409"/>
      <c r="Q153" s="409"/>
      <c r="R153" s="409"/>
      <c r="S153" s="410"/>
      <c r="T153" s="411"/>
      <c r="U153" s="412"/>
      <c r="V153" s="410"/>
      <c r="W153" s="409"/>
    </row>
    <row r="154" spans="12:23">
      <c r="L154" s="394" t="str">
        <f t="shared" si="6"/>
        <v/>
      </c>
      <c r="M154" s="394" t="str">
        <f>IF(OR(L154="",COUNTIF($M$4:M153,IF(ISERROR($R154*1),LEFT($R154,2)*1,$R154*1))&gt;=1),"-",IF(ISERROR($R154*1),LEFT($R154,2)*1,$R154*1))</f>
        <v>-</v>
      </c>
      <c r="N154" s="394" t="str">
        <f>IF(OR(L154="",COUNTIF($N$4:N153,V154*1)&gt;=1),"-",V154*1)</f>
        <v>-</v>
      </c>
      <c r="O154" s="409"/>
      <c r="P154" s="409"/>
      <c r="Q154" s="409"/>
      <c r="R154" s="409"/>
      <c r="S154" s="410"/>
      <c r="T154" s="411"/>
      <c r="U154" s="412"/>
      <c r="V154" s="410"/>
      <c r="W154" s="409"/>
    </row>
    <row r="155" spans="12:23">
      <c r="L155" s="394" t="str">
        <f t="shared" si="6"/>
        <v/>
      </c>
      <c r="M155" s="394" t="str">
        <f>IF(OR(L155="",COUNTIF($M$4:M154,IF(ISERROR($R155*1),LEFT($R155,2)*1,$R155*1))&gt;=1),"-",IF(ISERROR($R155*1),LEFT($R155,2)*1,$R155*1))</f>
        <v>-</v>
      </c>
      <c r="N155" s="394" t="str">
        <f>IF(OR(L155="",COUNTIF($N$4:N154,V155*1)&gt;=1),"-",V155*1)</f>
        <v>-</v>
      </c>
      <c r="O155" s="409"/>
      <c r="P155" s="409"/>
      <c r="Q155" s="409"/>
      <c r="R155" s="409"/>
      <c r="S155" s="410"/>
      <c r="T155" s="411"/>
      <c r="U155" s="412"/>
      <c r="V155" s="410"/>
      <c r="W155" s="409"/>
    </row>
    <row r="156" spans="12:23">
      <c r="L156" s="394" t="str">
        <f t="shared" si="6"/>
        <v/>
      </c>
      <c r="M156" s="394" t="str">
        <f>IF(OR(L156="",COUNTIF($M$4:M155,IF(ISERROR($R156*1),LEFT($R156,2)*1,$R156*1))&gt;=1),"-",IF(ISERROR($R156*1),LEFT($R156,2)*1,$R156*1))</f>
        <v>-</v>
      </c>
      <c r="N156" s="394" t="str">
        <f>IF(OR(L156="",COUNTIF($N$4:N155,V156*1)&gt;=1),"-",V156*1)</f>
        <v>-</v>
      </c>
      <c r="O156" s="409"/>
      <c r="P156" s="409"/>
      <c r="Q156" s="409"/>
      <c r="R156" s="409"/>
      <c r="S156" s="410"/>
      <c r="T156" s="411"/>
      <c r="U156" s="412"/>
      <c r="V156" s="410"/>
      <c r="W156" s="409"/>
    </row>
    <row r="157" spans="12:23">
      <c r="L157" s="394" t="str">
        <f t="shared" si="6"/>
        <v/>
      </c>
      <c r="M157" s="394" t="str">
        <f>IF(OR(L157="",COUNTIF($M$4:M156,IF(ISERROR($R157*1),LEFT($R157,2)*1,$R157*1))&gt;=1),"-",IF(ISERROR($R157*1),LEFT($R157,2)*1,$R157*1))</f>
        <v>-</v>
      </c>
      <c r="N157" s="394" t="str">
        <f>IF(OR(L157="",COUNTIF($N$4:N156,V157*1)&gt;=1),"-",V157*1)</f>
        <v>-</v>
      </c>
      <c r="O157" s="409"/>
      <c r="P157" s="409"/>
      <c r="Q157" s="409"/>
      <c r="R157" s="409"/>
      <c r="S157" s="410"/>
      <c r="T157" s="411"/>
      <c r="U157" s="412"/>
      <c r="V157" s="410"/>
      <c r="W157" s="409"/>
    </row>
    <row r="158" spans="12:23">
      <c r="L158" s="394" t="str">
        <f t="shared" si="6"/>
        <v/>
      </c>
      <c r="M158" s="394" t="str">
        <f>IF(OR(L158="",COUNTIF($M$4:M157,IF(ISERROR($R158*1),LEFT($R158,2)*1,$R158*1))&gt;=1),"-",IF(ISERROR($R158*1),LEFT($R158,2)*1,$R158*1))</f>
        <v>-</v>
      </c>
      <c r="N158" s="394" t="str">
        <f>IF(OR(L158="",COUNTIF($N$4:N157,V158*1)&gt;=1),"-",V158*1)</f>
        <v>-</v>
      </c>
      <c r="O158" s="409"/>
      <c r="P158" s="409"/>
      <c r="Q158" s="409"/>
      <c r="R158" s="409"/>
      <c r="S158" s="410"/>
      <c r="T158" s="411"/>
      <c r="U158" s="412"/>
      <c r="V158" s="410"/>
      <c r="W158" s="409"/>
    </row>
    <row r="159" spans="12:23">
      <c r="L159" s="394" t="str">
        <f t="shared" si="6"/>
        <v/>
      </c>
      <c r="M159" s="394" t="str">
        <f>IF(OR(L159="",COUNTIF($M$4:M158,IF(ISERROR($R159*1),LEFT($R159,2)*1,$R159*1))&gt;=1),"-",IF(ISERROR($R159*1),LEFT($R159,2)*1,$R159*1))</f>
        <v>-</v>
      </c>
      <c r="N159" s="394" t="str">
        <f>IF(OR(L159="",COUNTIF($N$4:N158,V159*1)&gt;=1),"-",V159*1)</f>
        <v>-</v>
      </c>
      <c r="O159" s="409"/>
      <c r="P159" s="409"/>
      <c r="Q159" s="409"/>
      <c r="R159" s="409"/>
      <c r="S159" s="410"/>
      <c r="T159" s="411"/>
      <c r="U159" s="412"/>
      <c r="V159" s="410"/>
      <c r="W159" s="409"/>
    </row>
    <row r="160" spans="12:23">
      <c r="L160" s="394" t="str">
        <f t="shared" si="6"/>
        <v/>
      </c>
      <c r="M160" s="394" t="str">
        <f>IF(OR(L160="",COUNTIF($M$4:M159,IF(ISERROR($R160*1),LEFT($R160,2)*1,$R160*1))&gt;=1),"-",IF(ISERROR($R160*1),LEFT($R160,2)*1,$R160*1))</f>
        <v>-</v>
      </c>
      <c r="N160" s="394" t="str">
        <f>IF(OR(L160="",COUNTIF($N$4:N159,V160*1)&gt;=1),"-",V160*1)</f>
        <v>-</v>
      </c>
      <c r="O160" s="409"/>
      <c r="P160" s="409"/>
      <c r="Q160" s="409"/>
      <c r="R160" s="409"/>
      <c r="S160" s="410"/>
      <c r="T160" s="411"/>
      <c r="U160" s="412"/>
      <c r="V160" s="410"/>
      <c r="W160" s="409"/>
    </row>
    <row r="161" spans="12:23">
      <c r="L161" s="394" t="str">
        <f t="shared" si="6"/>
        <v/>
      </c>
      <c r="M161" s="394" t="str">
        <f>IF(OR(L161="",COUNTIF($M$4:M160,IF(ISERROR($R161*1),LEFT($R161,2)*1,$R161*1))&gt;=1),"-",IF(ISERROR($R161*1),LEFT($R161,2)*1,$R161*1))</f>
        <v>-</v>
      </c>
      <c r="N161" s="394" t="str">
        <f>IF(OR(L161="",COUNTIF($N$4:N160,V161*1)&gt;=1),"-",V161*1)</f>
        <v>-</v>
      </c>
      <c r="O161" s="409"/>
      <c r="P161" s="409"/>
      <c r="Q161" s="409"/>
      <c r="R161" s="409"/>
      <c r="S161" s="410"/>
      <c r="T161" s="411"/>
      <c r="U161" s="412"/>
      <c r="V161" s="410"/>
      <c r="W161" s="409"/>
    </row>
    <row r="162" spans="12:23">
      <c r="L162" s="394" t="str">
        <f t="shared" si="6"/>
        <v/>
      </c>
      <c r="M162" s="394" t="str">
        <f>IF(OR(L162="",COUNTIF($M$4:M161,IF(ISERROR($R162*1),LEFT($R162,2)*1,$R162*1))&gt;=1),"-",IF(ISERROR($R162*1),LEFT($R162,2)*1,$R162*1))</f>
        <v>-</v>
      </c>
      <c r="N162" s="394" t="str">
        <f>IF(OR(L162="",COUNTIF($N$4:N161,V162*1)&gt;=1),"-",V162*1)</f>
        <v>-</v>
      </c>
      <c r="O162" s="409"/>
      <c r="P162" s="409"/>
      <c r="Q162" s="409"/>
      <c r="R162" s="409"/>
      <c r="S162" s="410"/>
      <c r="T162" s="411"/>
      <c r="U162" s="412"/>
      <c r="V162" s="410"/>
      <c r="W162" s="409"/>
    </row>
    <row r="163" spans="12:23">
      <c r="L163" s="394" t="str">
        <f t="shared" si="6"/>
        <v/>
      </c>
      <c r="M163" s="394" t="str">
        <f>IF(OR(L163="",COUNTIF($M$4:M162,IF(ISERROR($R163*1),LEFT($R163,2)*1,$R163*1))&gt;=1),"-",IF(ISERROR($R163*1),LEFT($R163,2)*1,$R163*1))</f>
        <v>-</v>
      </c>
      <c r="N163" s="394" t="str">
        <f>IF(OR(L163="",COUNTIF($N$4:N162,V163*1)&gt;=1),"-",V163*1)</f>
        <v>-</v>
      </c>
      <c r="O163" s="409"/>
      <c r="P163" s="409"/>
      <c r="Q163" s="409"/>
      <c r="R163" s="409"/>
      <c r="S163" s="410"/>
      <c r="T163" s="411"/>
      <c r="U163" s="412"/>
      <c r="V163" s="410"/>
      <c r="W163" s="409"/>
    </row>
    <row r="164" spans="12:23">
      <c r="L164" s="394" t="str">
        <f t="shared" si="6"/>
        <v/>
      </c>
      <c r="M164" s="394" t="str">
        <f>IF(OR(L164="",COUNTIF($M$4:M163,IF(ISERROR($R164*1),LEFT($R164,2)*1,$R164*1))&gt;=1),"-",IF(ISERROR($R164*1),LEFT($R164,2)*1,$R164*1))</f>
        <v>-</v>
      </c>
      <c r="N164" s="394" t="str">
        <f>IF(OR(L164="",COUNTIF($N$4:N163,V164*1)&gt;=1),"-",V164*1)</f>
        <v>-</v>
      </c>
      <c r="O164" s="409"/>
      <c r="P164" s="409"/>
      <c r="Q164" s="409"/>
      <c r="R164" s="409"/>
      <c r="S164" s="410"/>
      <c r="T164" s="411"/>
      <c r="U164" s="412"/>
      <c r="V164" s="410"/>
      <c r="W164" s="409"/>
    </row>
    <row r="165" spans="12:23">
      <c r="L165" s="394" t="str">
        <f t="shared" si="6"/>
        <v/>
      </c>
      <c r="M165" s="394" t="str">
        <f>IF(OR(L165="",COUNTIF($M$4:M164,IF(ISERROR($R165*1),LEFT($R165,2)*1,$R165*1))&gt;=1),"-",IF(ISERROR($R165*1),LEFT($R165,2)*1,$R165*1))</f>
        <v>-</v>
      </c>
      <c r="N165" s="394" t="str">
        <f>IF(OR(L165="",COUNTIF($N$4:N164,V165*1)&gt;=1),"-",V165*1)</f>
        <v>-</v>
      </c>
      <c r="O165" s="409"/>
      <c r="P165" s="409"/>
      <c r="Q165" s="409"/>
      <c r="R165" s="409"/>
      <c r="S165" s="410"/>
      <c r="T165" s="411"/>
      <c r="U165" s="412"/>
      <c r="V165" s="410"/>
      <c r="W165" s="409"/>
    </row>
    <row r="166" spans="12:23">
      <c r="L166" s="394" t="str">
        <f t="shared" si="6"/>
        <v/>
      </c>
      <c r="M166" s="394" t="str">
        <f>IF(OR(L166="",COUNTIF($M$4:M165,IF(ISERROR($R166*1),LEFT($R166,2)*1,$R166*1))&gt;=1),"-",IF(ISERROR($R166*1),LEFT($R166,2)*1,$R166*1))</f>
        <v>-</v>
      </c>
      <c r="N166" s="394" t="str">
        <f>IF(OR(L166="",COUNTIF($N$4:N165,V166*1)&gt;=1),"-",V166*1)</f>
        <v>-</v>
      </c>
      <c r="O166" s="409"/>
      <c r="P166" s="409"/>
      <c r="Q166" s="409"/>
      <c r="R166" s="409"/>
      <c r="S166" s="410"/>
      <c r="T166" s="411"/>
      <c r="U166" s="412"/>
      <c r="V166" s="410"/>
      <c r="W166" s="409"/>
    </row>
    <row r="167" spans="12:23">
      <c r="L167" s="394" t="str">
        <f t="shared" si="6"/>
        <v/>
      </c>
      <c r="M167" s="394" t="str">
        <f>IF(OR(L167="",COUNTIF($M$4:M166,IF(ISERROR($R167*1),LEFT($R167,2)*1,$R167*1))&gt;=1),"-",IF(ISERROR($R167*1),LEFT($R167,2)*1,$R167*1))</f>
        <v>-</v>
      </c>
      <c r="N167" s="394" t="str">
        <f>IF(OR(L167="",COUNTIF($N$4:N166,V167*1)&gt;=1),"-",V167*1)</f>
        <v>-</v>
      </c>
      <c r="O167" s="409"/>
      <c r="P167" s="409"/>
      <c r="Q167" s="409"/>
      <c r="R167" s="409"/>
      <c r="S167" s="410"/>
      <c r="T167" s="411"/>
      <c r="U167" s="412"/>
      <c r="V167" s="410"/>
      <c r="W167" s="409"/>
    </row>
    <row r="168" spans="12:23">
      <c r="L168" s="394" t="str">
        <f t="shared" si="6"/>
        <v/>
      </c>
      <c r="M168" s="394" t="str">
        <f>IF(OR(L168="",COUNTIF($M$4:M167,IF(ISERROR($R168*1),LEFT($R168,2)*1,$R168*1))&gt;=1),"-",IF(ISERROR($R168*1),LEFT($R168,2)*1,$R168*1))</f>
        <v>-</v>
      </c>
      <c r="N168" s="394" t="str">
        <f>IF(OR(L168="",COUNTIF($N$4:N167,V168*1)&gt;=1),"-",V168*1)</f>
        <v>-</v>
      </c>
      <c r="O168" s="409"/>
      <c r="P168" s="409"/>
      <c r="Q168" s="409"/>
      <c r="R168" s="409"/>
      <c r="S168" s="410"/>
      <c r="T168" s="411"/>
      <c r="U168" s="412"/>
      <c r="V168" s="410"/>
      <c r="W168" s="409"/>
    </row>
    <row r="169" spans="12:23">
      <c r="L169" s="394" t="str">
        <f t="shared" si="6"/>
        <v/>
      </c>
      <c r="M169" s="394" t="str">
        <f>IF(OR(L169="",COUNTIF($M$4:M168,IF(ISERROR($R169*1),LEFT($R169,2)*1,$R169*1))&gt;=1),"-",IF(ISERROR($R169*1),LEFT($R169,2)*1,$R169*1))</f>
        <v>-</v>
      </c>
      <c r="N169" s="394" t="str">
        <f>IF(OR(L169="",COUNTIF($N$4:N168,V169*1)&gt;=1),"-",V169*1)</f>
        <v>-</v>
      </c>
      <c r="O169" s="409"/>
      <c r="P169" s="409"/>
      <c r="Q169" s="409"/>
      <c r="R169" s="409"/>
      <c r="S169" s="410"/>
      <c r="T169" s="411"/>
      <c r="U169" s="412"/>
      <c r="V169" s="410"/>
      <c r="W169" s="409"/>
    </row>
    <row r="170" spans="12:23">
      <c r="L170" s="394" t="str">
        <f t="shared" si="6"/>
        <v/>
      </c>
      <c r="M170" s="394" t="str">
        <f>IF(OR(L170="",COUNTIF($M$4:M169,IF(ISERROR($R170*1),LEFT($R170,2)*1,$R170*1))&gt;=1),"-",IF(ISERROR($R170*1),LEFT($R170,2)*1,$R170*1))</f>
        <v>-</v>
      </c>
      <c r="N170" s="394" t="str">
        <f>IF(OR(L170="",COUNTIF($N$4:N169,V170*1)&gt;=1),"-",V170*1)</f>
        <v>-</v>
      </c>
      <c r="O170" s="409"/>
      <c r="P170" s="409"/>
      <c r="Q170" s="409"/>
      <c r="R170" s="409"/>
      <c r="S170" s="410"/>
      <c r="T170" s="411"/>
      <c r="U170" s="412"/>
      <c r="V170" s="410"/>
      <c r="W170" s="409"/>
    </row>
    <row r="171" spans="12:23">
      <c r="L171" s="394" t="str">
        <f t="shared" si="6"/>
        <v/>
      </c>
      <c r="M171" s="394" t="str">
        <f>IF(OR(L171="",COUNTIF($M$4:M170,IF(ISERROR($R171*1),LEFT($R171,2)*1,$R171*1))&gt;=1),"-",IF(ISERROR($R171*1),LEFT($R171,2)*1,$R171*1))</f>
        <v>-</v>
      </c>
      <c r="N171" s="394" t="str">
        <f>IF(OR(L171="",COUNTIF($N$4:N170,V171*1)&gt;=1),"-",V171*1)</f>
        <v>-</v>
      </c>
      <c r="O171" s="409"/>
      <c r="P171" s="409"/>
      <c r="Q171" s="409"/>
      <c r="R171" s="409"/>
      <c r="S171" s="410"/>
      <c r="T171" s="411"/>
      <c r="U171" s="412"/>
      <c r="V171" s="410"/>
      <c r="W171" s="409"/>
    </row>
    <row r="172" spans="12:23">
      <c r="L172" s="394" t="str">
        <f t="shared" si="6"/>
        <v/>
      </c>
      <c r="M172" s="394" t="str">
        <f>IF(OR(L172="",COUNTIF($M$4:M171,IF(ISERROR($R172*1),LEFT($R172,2)*1,$R172*1))&gt;=1),"-",IF(ISERROR($R172*1),LEFT($R172,2)*1,$R172*1))</f>
        <v>-</v>
      </c>
      <c r="N172" s="394" t="str">
        <f>IF(OR(L172="",COUNTIF($N$4:N171,V172*1)&gt;=1),"-",V172*1)</f>
        <v>-</v>
      </c>
      <c r="O172" s="409"/>
      <c r="P172" s="409"/>
      <c r="Q172" s="409"/>
      <c r="R172" s="409"/>
      <c r="S172" s="410"/>
      <c r="T172" s="411"/>
      <c r="U172" s="412"/>
      <c r="V172" s="410"/>
      <c r="W172" s="409"/>
    </row>
    <row r="173" spans="12:23">
      <c r="L173" s="394" t="str">
        <f t="shared" si="6"/>
        <v/>
      </c>
      <c r="M173" s="394" t="str">
        <f>IF(OR(L173="",COUNTIF($M$4:M172,IF(ISERROR($R173*1),LEFT($R173,2)*1,$R173*1))&gt;=1),"-",IF(ISERROR($R173*1),LEFT($R173,2)*1,$R173*1))</f>
        <v>-</v>
      </c>
      <c r="N173" s="394" t="str">
        <f>IF(OR(L173="",COUNTIF($N$4:N172,V173*1)&gt;=1),"-",V173*1)</f>
        <v>-</v>
      </c>
      <c r="O173" s="409"/>
      <c r="P173" s="409"/>
      <c r="Q173" s="409"/>
      <c r="R173" s="409"/>
      <c r="S173" s="410"/>
      <c r="T173" s="411"/>
      <c r="U173" s="412"/>
      <c r="V173" s="410"/>
      <c r="W173" s="409"/>
    </row>
    <row r="174" spans="12:23">
      <c r="L174" s="394" t="str">
        <f t="shared" si="6"/>
        <v/>
      </c>
      <c r="M174" s="394" t="str">
        <f>IF(OR(L174="",COUNTIF($M$4:M173,IF(ISERROR($R174*1),LEFT($R174,2)*1,$R174*1))&gt;=1),"-",IF(ISERROR($R174*1),LEFT($R174,2)*1,$R174*1))</f>
        <v>-</v>
      </c>
      <c r="N174" s="394" t="str">
        <f>IF(OR(L174="",COUNTIF($N$4:N173,V174*1)&gt;=1),"-",V174*1)</f>
        <v>-</v>
      </c>
      <c r="O174" s="409"/>
      <c r="P174" s="409"/>
      <c r="Q174" s="409"/>
      <c r="R174" s="409"/>
      <c r="S174" s="410"/>
      <c r="T174" s="411"/>
      <c r="U174" s="412"/>
      <c r="V174" s="410"/>
      <c r="W174" s="409"/>
    </row>
    <row r="175" spans="12:23">
      <c r="L175" s="394" t="str">
        <f t="shared" si="6"/>
        <v/>
      </c>
      <c r="M175" s="394" t="str">
        <f>IF(OR(L175="",COUNTIF($M$4:M174,IF(ISERROR($R175*1),LEFT($R175,2)*1,$R175*1))&gt;=1),"-",IF(ISERROR($R175*1),LEFT($R175,2)*1,$R175*1))</f>
        <v>-</v>
      </c>
      <c r="N175" s="394" t="str">
        <f>IF(OR(L175="",COUNTIF($N$4:N174,V175*1)&gt;=1),"-",V175*1)</f>
        <v>-</v>
      </c>
      <c r="O175" s="409"/>
      <c r="P175" s="409"/>
      <c r="Q175" s="409"/>
      <c r="R175" s="409"/>
      <c r="S175" s="410"/>
      <c r="T175" s="411"/>
      <c r="U175" s="412"/>
      <c r="V175" s="410"/>
      <c r="W175" s="409"/>
    </row>
    <row r="176" spans="12:23">
      <c r="L176" s="394" t="str">
        <f t="shared" si="6"/>
        <v/>
      </c>
      <c r="M176" s="394" t="str">
        <f>IF(OR(L176="",COUNTIF($M$4:M175,IF(ISERROR($R176*1),LEFT($R176,2)*1,$R176*1))&gt;=1),"-",IF(ISERROR($R176*1),LEFT($R176,2)*1,$R176*1))</f>
        <v>-</v>
      </c>
      <c r="N176" s="394" t="str">
        <f>IF(OR(L176="",COUNTIF($N$4:N175,V176*1)&gt;=1),"-",V176*1)</f>
        <v>-</v>
      </c>
      <c r="O176" s="409"/>
      <c r="P176" s="409"/>
      <c r="Q176" s="409"/>
      <c r="R176" s="409"/>
      <c r="S176" s="410"/>
      <c r="T176" s="411"/>
      <c r="U176" s="412"/>
      <c r="V176" s="410"/>
      <c r="W176" s="409"/>
    </row>
    <row r="177" spans="12:23">
      <c r="L177" s="394" t="str">
        <f t="shared" si="6"/>
        <v/>
      </c>
      <c r="M177" s="394" t="str">
        <f>IF(OR(L177="",COUNTIF($M$4:M176,IF(ISERROR($R177*1),LEFT($R177,2)*1,$R177*1))&gt;=1),"-",IF(ISERROR($R177*1),LEFT($R177,2)*1,$R177*1))</f>
        <v>-</v>
      </c>
      <c r="N177" s="394" t="str">
        <f>IF(OR(L177="",COUNTIF($N$4:N176,V177*1)&gt;=1),"-",V177*1)</f>
        <v>-</v>
      </c>
      <c r="O177" s="409"/>
      <c r="P177" s="409"/>
      <c r="Q177" s="409"/>
      <c r="R177" s="409"/>
      <c r="S177" s="410"/>
      <c r="T177" s="411"/>
      <c r="U177" s="412"/>
      <c r="V177" s="410"/>
      <c r="W177" s="409"/>
    </row>
    <row r="178" spans="12:23">
      <c r="L178" s="394" t="str">
        <f t="shared" si="6"/>
        <v/>
      </c>
      <c r="M178" s="394" t="str">
        <f>IF(OR(L178="",COUNTIF($M$4:M177,IF(ISERROR($R178*1),LEFT($R178,2)*1,$R178*1))&gt;=1),"-",IF(ISERROR($R178*1),LEFT($R178,2)*1,$R178*1))</f>
        <v>-</v>
      </c>
      <c r="N178" s="394" t="str">
        <f>IF(OR(L178="",COUNTIF($N$4:N177,V178*1)&gt;=1),"-",V178*1)</f>
        <v>-</v>
      </c>
      <c r="O178" s="409"/>
      <c r="P178" s="409"/>
      <c r="Q178" s="409"/>
      <c r="R178" s="409"/>
      <c r="S178" s="410"/>
      <c r="T178" s="411"/>
      <c r="U178" s="412"/>
      <c r="V178" s="410"/>
      <c r="W178" s="409"/>
    </row>
    <row r="179" spans="12:23">
      <c r="L179" s="394" t="str">
        <f t="shared" si="6"/>
        <v/>
      </c>
      <c r="M179" s="394" t="str">
        <f>IF(OR(L179="",COUNTIF($M$4:M178,IF(ISERROR($R179*1),LEFT($R179,2)*1,$R179*1))&gt;=1),"-",IF(ISERROR($R179*1),LEFT($R179,2)*1,$R179*1))</f>
        <v>-</v>
      </c>
      <c r="N179" s="394" t="str">
        <f>IF(OR(L179="",COUNTIF($N$4:N178,V179*1)&gt;=1),"-",V179*1)</f>
        <v>-</v>
      </c>
      <c r="O179" s="409"/>
      <c r="P179" s="409"/>
      <c r="Q179" s="409"/>
      <c r="R179" s="409"/>
      <c r="S179" s="410"/>
      <c r="T179" s="411"/>
      <c r="U179" s="412"/>
      <c r="V179" s="410"/>
      <c r="W179" s="409"/>
    </row>
    <row r="180" spans="12:23">
      <c r="L180" s="394" t="str">
        <f t="shared" si="6"/>
        <v/>
      </c>
      <c r="M180" s="394" t="str">
        <f>IF(OR(L180="",COUNTIF($M$4:M179,IF(ISERROR($R180*1),LEFT($R180,2)*1,$R180*1))&gt;=1),"-",IF(ISERROR($R180*1),LEFT($R180,2)*1,$R180*1))</f>
        <v>-</v>
      </c>
      <c r="N180" s="394" t="str">
        <f>IF(OR(L180="",COUNTIF($N$4:N179,V180*1)&gt;=1),"-",V180*1)</f>
        <v>-</v>
      </c>
      <c r="O180" s="409"/>
      <c r="P180" s="409"/>
      <c r="Q180" s="409"/>
      <c r="R180" s="409"/>
      <c r="S180" s="410"/>
      <c r="T180" s="411"/>
      <c r="U180" s="412"/>
      <c r="V180" s="410"/>
      <c r="W180" s="409"/>
    </row>
    <row r="181" spans="12:23">
      <c r="L181" s="394" t="str">
        <f t="shared" si="6"/>
        <v/>
      </c>
      <c r="M181" s="394" t="str">
        <f>IF(OR(L181="",COUNTIF($M$4:M180,IF(ISERROR($R181*1),LEFT($R181,2)*1,$R181*1))&gt;=1),"-",IF(ISERROR($R181*1),LEFT($R181,2)*1,$R181*1))</f>
        <v>-</v>
      </c>
      <c r="N181" s="394" t="str">
        <f>IF(OR(L181="",COUNTIF($N$4:N180,V181*1)&gt;=1),"-",V181*1)</f>
        <v>-</v>
      </c>
      <c r="O181" s="409"/>
      <c r="P181" s="409"/>
      <c r="Q181" s="409"/>
      <c r="R181" s="409"/>
      <c r="S181" s="410"/>
      <c r="T181" s="411"/>
      <c r="U181" s="412"/>
      <c r="V181" s="410"/>
      <c r="W181" s="409"/>
    </row>
    <row r="182" spans="12:23">
      <c r="L182" s="394" t="str">
        <f t="shared" si="6"/>
        <v/>
      </c>
      <c r="M182" s="394" t="str">
        <f>IF(OR(L182="",COUNTIF($M$4:M181,IF(ISERROR($R182*1),LEFT($R182,2)*1,$R182*1))&gt;=1),"-",IF(ISERROR($R182*1),LEFT($R182,2)*1,$R182*1))</f>
        <v>-</v>
      </c>
      <c r="N182" s="394" t="str">
        <f>IF(OR(L182="",COUNTIF($N$4:N181,V182*1)&gt;=1),"-",V182*1)</f>
        <v>-</v>
      </c>
      <c r="O182" s="409"/>
      <c r="P182" s="409"/>
      <c r="Q182" s="409"/>
      <c r="R182" s="409"/>
      <c r="S182" s="410"/>
      <c r="T182" s="411"/>
      <c r="U182" s="412"/>
      <c r="V182" s="410"/>
      <c r="W182" s="409"/>
    </row>
    <row r="183" spans="12:23">
      <c r="L183" s="394" t="str">
        <f t="shared" si="6"/>
        <v/>
      </c>
      <c r="M183" s="394" t="str">
        <f>IF(OR(L183="",COUNTIF($M$4:M182,IF(ISERROR($R183*1),LEFT($R183,2)*1,$R183*1))&gt;=1),"-",IF(ISERROR($R183*1),LEFT($R183,2)*1,$R183*1))</f>
        <v>-</v>
      </c>
      <c r="N183" s="394" t="str">
        <f>IF(OR(L183="",COUNTIF($N$4:N182,V183*1)&gt;=1),"-",V183*1)</f>
        <v>-</v>
      </c>
      <c r="O183" s="409"/>
      <c r="P183" s="409"/>
      <c r="Q183" s="409"/>
      <c r="R183" s="409"/>
      <c r="S183" s="410"/>
      <c r="T183" s="411"/>
      <c r="U183" s="412"/>
      <c r="V183" s="410"/>
      <c r="W183" s="409"/>
    </row>
    <row r="184" spans="12:23">
      <c r="L184" s="394" t="str">
        <f t="shared" si="6"/>
        <v/>
      </c>
      <c r="M184" s="394" t="str">
        <f>IF(OR(L184="",COUNTIF($M$4:M183,IF(ISERROR($R184*1),LEFT($R184,2)*1,$R184*1))&gt;=1),"-",IF(ISERROR($R184*1),LEFT($R184,2)*1,$R184*1))</f>
        <v>-</v>
      </c>
      <c r="N184" s="394" t="str">
        <f>IF(OR(L184="",COUNTIF($N$4:N183,V184*1)&gt;=1),"-",V184*1)</f>
        <v>-</v>
      </c>
      <c r="O184" s="409"/>
      <c r="P184" s="409"/>
      <c r="Q184" s="409"/>
      <c r="R184" s="409"/>
      <c r="S184" s="410"/>
      <c r="T184" s="411"/>
      <c r="U184" s="412"/>
      <c r="V184" s="410"/>
      <c r="W184" s="409"/>
    </row>
    <row r="185" spans="12:23">
      <c r="L185" s="394" t="str">
        <f t="shared" si="6"/>
        <v/>
      </c>
      <c r="M185" s="394" t="str">
        <f>IF(OR(L185="",COUNTIF($M$4:M184,IF(ISERROR($R185*1),LEFT($R185,2)*1,$R185*1))&gt;=1),"-",IF(ISERROR($R185*1),LEFT($R185,2)*1,$R185*1))</f>
        <v>-</v>
      </c>
      <c r="N185" s="394" t="str">
        <f>IF(OR(L185="",COUNTIF($N$4:N184,V185*1)&gt;=1),"-",V185*1)</f>
        <v>-</v>
      </c>
      <c r="O185" s="409"/>
      <c r="P185" s="409"/>
      <c r="Q185" s="409"/>
      <c r="R185" s="409"/>
      <c r="S185" s="410"/>
      <c r="T185" s="411"/>
      <c r="U185" s="412"/>
      <c r="V185" s="410"/>
      <c r="W185" s="409"/>
    </row>
    <row r="186" spans="12:23">
      <c r="L186" s="394" t="str">
        <f t="shared" si="6"/>
        <v/>
      </c>
      <c r="M186" s="394" t="str">
        <f>IF(OR(L186="",COUNTIF($M$4:M185,IF(ISERROR($R186*1),LEFT($R186,2)*1,$R186*1))&gt;=1),"-",IF(ISERROR($R186*1),LEFT($R186,2)*1,$R186*1))</f>
        <v>-</v>
      </c>
      <c r="N186" s="394" t="str">
        <f>IF(OR(L186="",COUNTIF($N$4:N185,V186*1)&gt;=1),"-",V186*1)</f>
        <v>-</v>
      </c>
      <c r="O186" s="409"/>
      <c r="P186" s="409"/>
      <c r="Q186" s="409"/>
      <c r="R186" s="409"/>
      <c r="S186" s="410"/>
      <c r="T186" s="411"/>
      <c r="U186" s="412"/>
      <c r="V186" s="410"/>
      <c r="W186" s="409"/>
    </row>
    <row r="187" spans="12:23">
      <c r="L187" s="394" t="str">
        <f t="shared" si="6"/>
        <v/>
      </c>
      <c r="M187" s="394" t="str">
        <f>IF(OR(L187="",COUNTIF($M$4:M186,IF(ISERROR($R187*1),LEFT($R187,2)*1,$R187*1))&gt;=1),"-",IF(ISERROR($R187*1),LEFT($R187,2)*1,$R187*1))</f>
        <v>-</v>
      </c>
      <c r="N187" s="394" t="str">
        <f>IF(OR(L187="",COUNTIF($N$4:N186,V187*1)&gt;=1),"-",V187*1)</f>
        <v>-</v>
      </c>
      <c r="O187" s="409"/>
      <c r="P187" s="409"/>
      <c r="Q187" s="409"/>
      <c r="R187" s="409"/>
      <c r="S187" s="410"/>
      <c r="T187" s="411"/>
      <c r="U187" s="412"/>
      <c r="V187" s="410"/>
      <c r="W187" s="409"/>
    </row>
    <row r="188" spans="12:23">
      <c r="L188" s="394" t="str">
        <f t="shared" si="6"/>
        <v/>
      </c>
      <c r="M188" s="394" t="str">
        <f>IF(OR(L188="",COUNTIF($M$4:M187,IF(ISERROR($R188*1),LEFT($R188,2)*1,$R188*1))&gt;=1),"-",IF(ISERROR($R188*1),LEFT($R188,2)*1,$R188*1))</f>
        <v>-</v>
      </c>
      <c r="N188" s="394" t="str">
        <f>IF(OR(L188="",COUNTIF($N$4:N187,V188*1)&gt;=1),"-",V188*1)</f>
        <v>-</v>
      </c>
      <c r="O188" s="409"/>
      <c r="P188" s="409"/>
      <c r="Q188" s="409"/>
      <c r="R188" s="409"/>
      <c r="S188" s="410"/>
      <c r="T188" s="411"/>
      <c r="U188" s="412"/>
      <c r="V188" s="410"/>
      <c r="W188" s="409"/>
    </row>
    <row r="189" spans="12:23">
      <c r="L189" s="394" t="str">
        <f t="shared" si="6"/>
        <v/>
      </c>
      <c r="M189" s="394" t="str">
        <f>IF(OR(L189="",COUNTIF($M$4:M188,IF(ISERROR($R189*1),LEFT($R189,2)*1,$R189*1))&gt;=1),"-",IF(ISERROR($R189*1),LEFT($R189,2)*1,$R189*1))</f>
        <v>-</v>
      </c>
      <c r="N189" s="394" t="str">
        <f>IF(OR(L189="",COUNTIF($N$4:N188,V189*1)&gt;=1),"-",V189*1)</f>
        <v>-</v>
      </c>
      <c r="O189" s="409"/>
      <c r="P189" s="409"/>
      <c r="Q189" s="409"/>
      <c r="R189" s="409"/>
      <c r="S189" s="410"/>
      <c r="T189" s="411"/>
      <c r="U189" s="412"/>
      <c r="V189" s="410"/>
      <c r="W189" s="409"/>
    </row>
    <row r="190" spans="12:23">
      <c r="L190" s="394" t="str">
        <f t="shared" si="6"/>
        <v/>
      </c>
      <c r="M190" s="394" t="str">
        <f>IF(OR(L190="",COUNTIF($M$4:M189,IF(ISERROR($R190*1),LEFT($R190,2)*1,$R190*1))&gt;=1),"-",IF(ISERROR($R190*1),LEFT($R190,2)*1,$R190*1))</f>
        <v>-</v>
      </c>
      <c r="N190" s="394" t="str">
        <f>IF(OR(L190="",COUNTIF($N$4:N189,V190*1)&gt;=1),"-",V190*1)</f>
        <v>-</v>
      </c>
      <c r="O190" s="409"/>
      <c r="P190" s="409"/>
      <c r="Q190" s="409"/>
      <c r="R190" s="409"/>
      <c r="S190" s="410"/>
      <c r="T190" s="411"/>
      <c r="U190" s="412"/>
      <c r="V190" s="410"/>
      <c r="W190" s="409"/>
    </row>
    <row r="191" spans="12:23">
      <c r="L191" s="394" t="str">
        <f t="shared" si="6"/>
        <v/>
      </c>
      <c r="M191" s="394" t="str">
        <f>IF(OR(L191="",COUNTIF($M$4:M190,IF(ISERROR($R191*1),LEFT($R191,2)*1,$R191*1))&gt;=1),"-",IF(ISERROR($R191*1),LEFT($R191,2)*1,$R191*1))</f>
        <v>-</v>
      </c>
      <c r="N191" s="394" t="str">
        <f>IF(OR(L191="",COUNTIF($N$4:N190,V191*1)&gt;=1),"-",V191*1)</f>
        <v>-</v>
      </c>
      <c r="O191" s="409"/>
      <c r="P191" s="409"/>
      <c r="Q191" s="409"/>
      <c r="R191" s="409"/>
      <c r="S191" s="410"/>
      <c r="T191" s="411"/>
      <c r="U191" s="412"/>
      <c r="V191" s="410"/>
      <c r="W191" s="409"/>
    </row>
    <row r="192" spans="12:23">
      <c r="L192" s="394" t="str">
        <f t="shared" si="6"/>
        <v/>
      </c>
      <c r="M192" s="394" t="str">
        <f>IF(OR(L192="",COUNTIF($M$4:M191,IF(ISERROR($R192*1),LEFT($R192,2)*1,$R192*1))&gt;=1),"-",IF(ISERROR($R192*1),LEFT($R192,2)*1,$R192*1))</f>
        <v>-</v>
      </c>
      <c r="N192" s="394" t="str">
        <f>IF(OR(L192="",COUNTIF($N$4:N191,V192*1)&gt;=1),"-",V192*1)</f>
        <v>-</v>
      </c>
      <c r="O192" s="409"/>
      <c r="P192" s="409"/>
      <c r="Q192" s="409"/>
      <c r="R192" s="409"/>
      <c r="S192" s="410"/>
      <c r="T192" s="411"/>
      <c r="U192" s="412"/>
      <c r="V192" s="410"/>
      <c r="W192" s="409"/>
    </row>
    <row r="193" spans="12:23">
      <c r="L193" s="394" t="str">
        <f t="shared" si="6"/>
        <v/>
      </c>
      <c r="M193" s="394" t="str">
        <f>IF(OR(L193="",COUNTIF($M$4:M192,IF(ISERROR($R193*1),LEFT($R193,2)*1,$R193*1))&gt;=1),"-",IF(ISERROR($R193*1),LEFT($R193,2)*1,$R193*1))</f>
        <v>-</v>
      </c>
      <c r="N193" s="394" t="str">
        <f>IF(OR(L193="",COUNTIF($N$4:N192,V193*1)&gt;=1),"-",V193*1)</f>
        <v>-</v>
      </c>
      <c r="O193" s="409"/>
      <c r="P193" s="409"/>
      <c r="Q193" s="409"/>
      <c r="R193" s="409"/>
      <c r="S193" s="410"/>
      <c r="T193" s="411"/>
      <c r="U193" s="412"/>
      <c r="V193" s="410"/>
      <c r="W193" s="409"/>
    </row>
    <row r="194" spans="12:23">
      <c r="L194" s="394" t="str">
        <f t="shared" si="6"/>
        <v/>
      </c>
      <c r="M194" s="394" t="str">
        <f>IF(OR(L194="",COUNTIF($M$4:M193,IF(ISERROR($R194*1),LEFT($R194,2)*1,$R194*1))&gt;=1),"-",IF(ISERROR($R194*1),LEFT($R194,2)*1,$R194*1))</f>
        <v>-</v>
      </c>
      <c r="N194" s="394" t="str">
        <f>IF(OR(L194="",COUNTIF($N$4:N193,V194*1)&gt;=1),"-",V194*1)</f>
        <v>-</v>
      </c>
      <c r="O194" s="409"/>
      <c r="P194" s="409"/>
      <c r="Q194" s="409"/>
      <c r="R194" s="409"/>
      <c r="S194" s="410"/>
      <c r="T194" s="411"/>
      <c r="U194" s="412"/>
      <c r="V194" s="410"/>
      <c r="W194" s="409"/>
    </row>
    <row r="195" spans="12:23">
      <c r="L195" s="394" t="str">
        <f t="shared" si="6"/>
        <v/>
      </c>
      <c r="M195" s="394" t="str">
        <f>IF(OR(L195="",COUNTIF($M$4:M194,IF(ISERROR($R195*1),LEFT($R195,2)*1,$R195*1))&gt;=1),"-",IF(ISERROR($R195*1),LEFT($R195,2)*1,$R195*1))</f>
        <v>-</v>
      </c>
      <c r="N195" s="394" t="str">
        <f>IF(OR(L195="",COUNTIF($N$4:N194,V195*1)&gt;=1),"-",V195*1)</f>
        <v>-</v>
      </c>
      <c r="O195" s="409"/>
      <c r="P195" s="409"/>
      <c r="Q195" s="409"/>
      <c r="R195" s="409"/>
      <c r="S195" s="410"/>
      <c r="T195" s="411"/>
      <c r="U195" s="412"/>
      <c r="V195" s="410"/>
      <c r="W195" s="409"/>
    </row>
    <row r="196" spans="12:23">
      <c r="L196" s="394" t="str">
        <f t="shared" ref="L196:L259" si="7">IF(P196&lt;&gt;$B$1,"",P196&amp;Q196&amp;R196&amp;V196)</f>
        <v/>
      </c>
      <c r="M196" s="394" t="str">
        <f>IF(OR(L196="",COUNTIF($M$4:M195,IF(ISERROR($R196*1),LEFT($R196,2)*1,$R196*1))&gt;=1),"-",IF(ISERROR($R196*1),LEFT($R196,2)*1,$R196*1))</f>
        <v>-</v>
      </c>
      <c r="N196" s="394" t="str">
        <f>IF(OR(L196="",COUNTIF($N$4:N195,V196*1)&gt;=1),"-",V196*1)</f>
        <v>-</v>
      </c>
      <c r="O196" s="409"/>
      <c r="P196" s="409"/>
      <c r="Q196" s="409"/>
      <c r="R196" s="409"/>
      <c r="S196" s="410"/>
      <c r="T196" s="411"/>
      <c r="U196" s="412"/>
      <c r="V196" s="410"/>
      <c r="W196" s="409"/>
    </row>
    <row r="197" spans="12:23">
      <c r="L197" s="394" t="str">
        <f t="shared" si="7"/>
        <v/>
      </c>
      <c r="M197" s="394" t="str">
        <f>IF(OR(L197="",COUNTIF($M$4:M196,IF(ISERROR($R197*1),LEFT($R197,2)*1,$R197*1))&gt;=1),"-",IF(ISERROR($R197*1),LEFT($R197,2)*1,$R197*1))</f>
        <v>-</v>
      </c>
      <c r="N197" s="394" t="str">
        <f>IF(OR(L197="",COUNTIF($N$4:N196,V197*1)&gt;=1),"-",V197*1)</f>
        <v>-</v>
      </c>
      <c r="O197" s="409"/>
      <c r="P197" s="409"/>
      <c r="Q197" s="409"/>
      <c r="R197" s="409"/>
      <c r="S197" s="410"/>
      <c r="T197" s="411"/>
      <c r="U197" s="412"/>
      <c r="V197" s="410"/>
      <c r="W197" s="409"/>
    </row>
    <row r="198" spans="12:23">
      <c r="L198" s="394" t="str">
        <f t="shared" si="7"/>
        <v/>
      </c>
      <c r="M198" s="394" t="str">
        <f>IF(OR(L198="",COUNTIF($M$4:M197,IF(ISERROR($R198*1),LEFT($R198,2)*1,$R198*1))&gt;=1),"-",IF(ISERROR($R198*1),LEFT($R198,2)*1,$R198*1))</f>
        <v>-</v>
      </c>
      <c r="N198" s="394" t="str">
        <f>IF(OR(L198="",COUNTIF($N$4:N197,V198*1)&gt;=1),"-",V198*1)</f>
        <v>-</v>
      </c>
      <c r="O198" s="409"/>
      <c r="P198" s="409"/>
      <c r="Q198" s="409"/>
      <c r="R198" s="409"/>
      <c r="S198" s="410"/>
      <c r="T198" s="411"/>
      <c r="U198" s="412"/>
      <c r="V198" s="410"/>
      <c r="W198" s="409"/>
    </row>
    <row r="199" spans="12:23">
      <c r="L199" s="394" t="str">
        <f t="shared" si="7"/>
        <v/>
      </c>
      <c r="M199" s="394" t="str">
        <f>IF(OR(L199="",COUNTIF($M$4:M198,IF(ISERROR($R199*1),LEFT($R199,2)*1,$R199*1))&gt;=1),"-",IF(ISERROR($R199*1),LEFT($R199,2)*1,$R199*1))</f>
        <v>-</v>
      </c>
      <c r="N199" s="394" t="str">
        <f>IF(OR(L199="",COUNTIF($N$4:N198,V199*1)&gt;=1),"-",V199*1)</f>
        <v>-</v>
      </c>
      <c r="O199" s="409"/>
      <c r="P199" s="409"/>
      <c r="Q199" s="409"/>
      <c r="R199" s="409"/>
      <c r="S199" s="410"/>
      <c r="T199" s="411"/>
      <c r="U199" s="412"/>
      <c r="V199" s="410"/>
      <c r="W199" s="409"/>
    </row>
    <row r="200" spans="12:23">
      <c r="L200" s="394" t="str">
        <f t="shared" si="7"/>
        <v/>
      </c>
      <c r="M200" s="394" t="str">
        <f>IF(OR(L200="",COUNTIF($M$4:M199,IF(ISERROR($R200*1),LEFT($R200,2)*1,$R200*1))&gt;=1),"-",IF(ISERROR($R200*1),LEFT($R200,2)*1,$R200*1))</f>
        <v>-</v>
      </c>
      <c r="N200" s="394" t="str">
        <f>IF(OR(L200="",COUNTIF($N$4:N199,V200*1)&gt;=1),"-",V200*1)</f>
        <v>-</v>
      </c>
      <c r="O200" s="409"/>
      <c r="P200" s="409"/>
      <c r="Q200" s="409"/>
      <c r="R200" s="409"/>
      <c r="S200" s="410"/>
      <c r="T200" s="411"/>
      <c r="U200" s="412"/>
      <c r="V200" s="410"/>
      <c r="W200" s="409"/>
    </row>
    <row r="201" spans="12:23">
      <c r="L201" s="394" t="str">
        <f t="shared" si="7"/>
        <v/>
      </c>
      <c r="M201" s="394" t="str">
        <f>IF(OR(L201="",COUNTIF($M$4:M200,IF(ISERROR($R201*1),LEFT($R201,2)*1,$R201*1))&gt;=1),"-",IF(ISERROR($R201*1),LEFT($R201,2)*1,$R201*1))</f>
        <v>-</v>
      </c>
      <c r="N201" s="394" t="str">
        <f>IF(OR(L201="",COUNTIF($N$4:N200,V201*1)&gt;=1),"-",V201*1)</f>
        <v>-</v>
      </c>
      <c r="O201" s="409"/>
      <c r="P201" s="409"/>
      <c r="Q201" s="409"/>
      <c r="R201" s="409"/>
      <c r="S201" s="410"/>
      <c r="T201" s="411"/>
      <c r="U201" s="412"/>
      <c r="V201" s="410"/>
      <c r="W201" s="409"/>
    </row>
    <row r="202" spans="12:23">
      <c r="L202" s="394" t="str">
        <f t="shared" si="7"/>
        <v/>
      </c>
      <c r="M202" s="394" t="str">
        <f>IF(OR(L202="",COUNTIF($M$4:M201,IF(ISERROR($R202*1),LEFT($R202,2)*1,$R202*1))&gt;=1),"-",IF(ISERROR($R202*1),LEFT($R202,2)*1,$R202*1))</f>
        <v>-</v>
      </c>
      <c r="N202" s="394" t="str">
        <f>IF(OR(L202="",COUNTIF($N$4:N201,V202*1)&gt;=1),"-",V202*1)</f>
        <v>-</v>
      </c>
      <c r="O202" s="409"/>
      <c r="P202" s="409"/>
      <c r="Q202" s="409"/>
      <c r="R202" s="409"/>
      <c r="S202" s="410"/>
      <c r="T202" s="411"/>
      <c r="U202" s="412"/>
      <c r="V202" s="410"/>
      <c r="W202" s="409"/>
    </row>
    <row r="203" spans="12:23">
      <c r="L203" s="394" t="str">
        <f t="shared" si="7"/>
        <v/>
      </c>
      <c r="M203" s="394" t="str">
        <f>IF(OR(L203="",COUNTIF($M$4:M202,IF(ISERROR($R203*1),LEFT($R203,2)*1,$R203*1))&gt;=1),"-",IF(ISERROR($R203*1),LEFT($R203,2)*1,$R203*1))</f>
        <v>-</v>
      </c>
      <c r="N203" s="394" t="str">
        <f>IF(OR(L203="",COUNTIF($N$4:N202,V203*1)&gt;=1),"-",V203*1)</f>
        <v>-</v>
      </c>
      <c r="O203" s="409"/>
      <c r="P203" s="409"/>
      <c r="Q203" s="409"/>
      <c r="R203" s="409"/>
      <c r="S203" s="410"/>
      <c r="T203" s="411"/>
      <c r="U203" s="412"/>
      <c r="V203" s="410"/>
      <c r="W203" s="409"/>
    </row>
    <row r="204" spans="12:23">
      <c r="L204" s="394" t="str">
        <f t="shared" si="7"/>
        <v/>
      </c>
      <c r="M204" s="394" t="str">
        <f>IF(OR(L204="",COUNTIF($M$4:M203,IF(ISERROR($R204*1),LEFT($R204,2)*1,$R204*1))&gt;=1),"-",IF(ISERROR($R204*1),LEFT($R204,2)*1,$R204*1))</f>
        <v>-</v>
      </c>
      <c r="N204" s="394" t="str">
        <f>IF(OR(L204="",COUNTIF($N$4:N203,V204*1)&gt;=1),"-",V204*1)</f>
        <v>-</v>
      </c>
      <c r="O204" s="409"/>
      <c r="P204" s="409"/>
      <c r="Q204" s="409"/>
      <c r="R204" s="409"/>
      <c r="S204" s="410"/>
      <c r="T204" s="411"/>
      <c r="U204" s="412"/>
      <c r="V204" s="410"/>
      <c r="W204" s="409"/>
    </row>
    <row r="205" spans="12:23">
      <c r="L205" s="394" t="str">
        <f t="shared" si="7"/>
        <v/>
      </c>
      <c r="M205" s="394" t="str">
        <f>IF(OR(L205="",COUNTIF($M$4:M204,IF(ISERROR($R205*1),LEFT($R205,2)*1,$R205*1))&gt;=1),"-",IF(ISERROR($R205*1),LEFT($R205,2)*1,$R205*1))</f>
        <v>-</v>
      </c>
      <c r="N205" s="394" t="str">
        <f>IF(OR(L205="",COUNTIF($N$4:N204,V205*1)&gt;=1),"-",V205*1)</f>
        <v>-</v>
      </c>
      <c r="O205" s="409"/>
      <c r="P205" s="409"/>
      <c r="Q205" s="409"/>
      <c r="R205" s="409"/>
      <c r="S205" s="410"/>
      <c r="T205" s="411"/>
      <c r="U205" s="412"/>
      <c r="V205" s="410"/>
      <c r="W205" s="409"/>
    </row>
    <row r="206" spans="12:23">
      <c r="L206" s="394" t="str">
        <f t="shared" si="7"/>
        <v/>
      </c>
      <c r="M206" s="394" t="str">
        <f>IF(OR(L206="",COUNTIF($M$4:M205,IF(ISERROR($R206*1),LEFT($R206,2)*1,$R206*1))&gt;=1),"-",IF(ISERROR($R206*1),LEFT($R206,2)*1,$R206*1))</f>
        <v>-</v>
      </c>
      <c r="N206" s="394" t="str">
        <f>IF(OR(L206="",COUNTIF($N$4:N205,V206*1)&gt;=1),"-",V206*1)</f>
        <v>-</v>
      </c>
      <c r="O206" s="409"/>
      <c r="P206" s="409"/>
      <c r="Q206" s="409"/>
      <c r="R206" s="409"/>
      <c r="S206" s="410"/>
      <c r="T206" s="411"/>
      <c r="U206" s="412"/>
      <c r="V206" s="410"/>
      <c r="W206" s="409"/>
    </row>
    <row r="207" spans="12:23">
      <c r="L207" s="394" t="str">
        <f t="shared" si="7"/>
        <v/>
      </c>
      <c r="M207" s="394" t="str">
        <f>IF(OR(L207="",COUNTIF($M$4:M206,IF(ISERROR($R207*1),LEFT($R207,2)*1,$R207*1))&gt;=1),"-",IF(ISERROR($R207*1),LEFT($R207,2)*1,$R207*1))</f>
        <v>-</v>
      </c>
      <c r="N207" s="394" t="str">
        <f>IF(OR(L207="",COUNTIF($N$4:N206,V207*1)&gt;=1),"-",V207*1)</f>
        <v>-</v>
      </c>
      <c r="O207" s="409"/>
      <c r="P207" s="409"/>
      <c r="Q207" s="409"/>
      <c r="R207" s="409"/>
      <c r="S207" s="410"/>
      <c r="T207" s="411"/>
      <c r="U207" s="412"/>
      <c r="V207" s="410"/>
      <c r="W207" s="409"/>
    </row>
    <row r="208" spans="12:23">
      <c r="L208" s="394" t="str">
        <f t="shared" si="7"/>
        <v/>
      </c>
      <c r="M208" s="394" t="str">
        <f>IF(OR(L208="",COUNTIF($M$4:M207,IF(ISERROR($R208*1),LEFT($R208,2)*1,$R208*1))&gt;=1),"-",IF(ISERROR($R208*1),LEFT($R208,2)*1,$R208*1))</f>
        <v>-</v>
      </c>
      <c r="N208" s="394" t="str">
        <f>IF(OR(L208="",COUNTIF($N$4:N207,V208*1)&gt;=1),"-",V208*1)</f>
        <v>-</v>
      </c>
      <c r="O208" s="409"/>
      <c r="P208" s="409"/>
      <c r="Q208" s="409"/>
      <c r="R208" s="409"/>
      <c r="S208" s="410"/>
      <c r="T208" s="411"/>
      <c r="U208" s="412"/>
      <c r="V208" s="410"/>
      <c r="W208" s="409"/>
    </row>
    <row r="209" spans="12:23">
      <c r="L209" s="394" t="str">
        <f t="shared" si="7"/>
        <v/>
      </c>
      <c r="M209" s="394" t="str">
        <f>IF(OR(L209="",COUNTIF($M$4:M208,IF(ISERROR($R209*1),LEFT($R209,2)*1,$R209*1))&gt;=1),"-",IF(ISERROR($R209*1),LEFT($R209,2)*1,$R209*1))</f>
        <v>-</v>
      </c>
      <c r="N209" s="394" t="str">
        <f>IF(OR(L209="",COUNTIF($N$4:N208,V209*1)&gt;=1),"-",V209*1)</f>
        <v>-</v>
      </c>
      <c r="O209" s="409"/>
      <c r="P209" s="409"/>
      <c r="Q209" s="409"/>
      <c r="R209" s="409"/>
      <c r="S209" s="410"/>
      <c r="T209" s="411"/>
      <c r="U209" s="412"/>
      <c r="V209" s="410"/>
      <c r="W209" s="409"/>
    </row>
    <row r="210" spans="12:23">
      <c r="L210" s="394" t="str">
        <f t="shared" si="7"/>
        <v/>
      </c>
      <c r="M210" s="394" t="str">
        <f>IF(OR(L210="",COUNTIF($M$4:M209,IF(ISERROR($R210*1),LEFT($R210,2)*1,$R210*1))&gt;=1),"-",IF(ISERROR($R210*1),LEFT($R210,2)*1,$R210*1))</f>
        <v>-</v>
      </c>
      <c r="N210" s="394" t="str">
        <f>IF(OR(L210="",COUNTIF($N$4:N209,V210*1)&gt;=1),"-",V210*1)</f>
        <v>-</v>
      </c>
      <c r="O210" s="409"/>
      <c r="P210" s="409"/>
      <c r="Q210" s="409"/>
      <c r="R210" s="409"/>
      <c r="S210" s="410"/>
      <c r="T210" s="411"/>
      <c r="U210" s="412"/>
      <c r="V210" s="410"/>
      <c r="W210" s="409"/>
    </row>
    <row r="211" spans="12:23">
      <c r="L211" s="394" t="str">
        <f t="shared" si="7"/>
        <v/>
      </c>
      <c r="M211" s="394" t="str">
        <f>IF(OR(L211="",COUNTIF($M$4:M210,IF(ISERROR($R211*1),LEFT($R211,2)*1,$R211*1))&gt;=1),"-",IF(ISERROR($R211*1),LEFT($R211,2)*1,$R211*1))</f>
        <v>-</v>
      </c>
      <c r="N211" s="394" t="str">
        <f>IF(OR(L211="",COUNTIF($N$4:N210,V211*1)&gt;=1),"-",V211*1)</f>
        <v>-</v>
      </c>
      <c r="O211" s="409"/>
      <c r="P211" s="409"/>
      <c r="Q211" s="409"/>
      <c r="R211" s="409"/>
      <c r="S211" s="410"/>
      <c r="T211" s="411"/>
      <c r="U211" s="412"/>
      <c r="V211" s="410"/>
      <c r="W211" s="409"/>
    </row>
    <row r="212" spans="12:23">
      <c r="L212" s="394" t="str">
        <f t="shared" si="7"/>
        <v/>
      </c>
      <c r="M212" s="394" t="str">
        <f>IF(OR(L212="",COUNTIF($M$4:M211,IF(ISERROR($R212*1),LEFT($R212,2)*1,$R212*1))&gt;=1),"-",IF(ISERROR($R212*1),LEFT($R212,2)*1,$R212*1))</f>
        <v>-</v>
      </c>
      <c r="N212" s="394" t="str">
        <f>IF(OR(L212="",COUNTIF($N$4:N211,V212*1)&gt;=1),"-",V212*1)</f>
        <v>-</v>
      </c>
      <c r="O212" s="409"/>
      <c r="P212" s="409"/>
      <c r="Q212" s="409"/>
      <c r="R212" s="409"/>
      <c r="S212" s="410"/>
      <c r="T212" s="411"/>
      <c r="U212" s="412"/>
      <c r="V212" s="410"/>
      <c r="W212" s="409"/>
    </row>
    <row r="213" spans="12:23">
      <c r="L213" s="394" t="str">
        <f t="shared" si="7"/>
        <v/>
      </c>
      <c r="M213" s="394" t="str">
        <f>IF(OR(L213="",COUNTIF($M$4:M212,IF(ISERROR($R213*1),LEFT($R213,2)*1,$R213*1))&gt;=1),"-",IF(ISERROR($R213*1),LEFT($R213,2)*1,$R213*1))</f>
        <v>-</v>
      </c>
      <c r="N213" s="394" t="str">
        <f>IF(OR(L213="",COUNTIF($N$4:N212,V213*1)&gt;=1),"-",V213*1)</f>
        <v>-</v>
      </c>
      <c r="O213" s="409"/>
      <c r="P213" s="409"/>
      <c r="Q213" s="409"/>
      <c r="R213" s="409"/>
      <c r="S213" s="410"/>
      <c r="T213" s="411"/>
      <c r="U213" s="412"/>
      <c r="V213" s="410"/>
      <c r="W213" s="409"/>
    </row>
    <row r="214" spans="12:23">
      <c r="L214" s="394" t="str">
        <f t="shared" si="7"/>
        <v/>
      </c>
      <c r="M214" s="394" t="str">
        <f>IF(OR(L214="",COUNTIF($M$4:M213,IF(ISERROR($R214*1),LEFT($R214,2)*1,$R214*1))&gt;=1),"-",IF(ISERROR($R214*1),LEFT($R214,2)*1,$R214*1))</f>
        <v>-</v>
      </c>
      <c r="N214" s="394" t="str">
        <f>IF(OR(L214="",COUNTIF($N$4:N213,V214*1)&gt;=1),"-",V214*1)</f>
        <v>-</v>
      </c>
      <c r="O214" s="409"/>
      <c r="P214" s="409"/>
      <c r="Q214" s="409"/>
      <c r="R214" s="409"/>
      <c r="S214" s="410"/>
      <c r="T214" s="411"/>
      <c r="U214" s="412"/>
      <c r="V214" s="410"/>
      <c r="W214" s="409"/>
    </row>
    <row r="215" spans="12:23">
      <c r="L215" s="394" t="str">
        <f t="shared" si="7"/>
        <v/>
      </c>
      <c r="M215" s="394" t="str">
        <f>IF(OR(L215="",COUNTIF($M$4:M214,IF(ISERROR($R215*1),LEFT($R215,2)*1,$R215*1))&gt;=1),"-",IF(ISERROR($R215*1),LEFT($R215,2)*1,$R215*1))</f>
        <v>-</v>
      </c>
      <c r="N215" s="394" t="str">
        <f>IF(OR(L215="",COUNTIF($N$4:N214,V215*1)&gt;=1),"-",V215*1)</f>
        <v>-</v>
      </c>
      <c r="O215" s="409"/>
      <c r="P215" s="409"/>
      <c r="Q215" s="409"/>
      <c r="R215" s="409"/>
      <c r="S215" s="410"/>
      <c r="T215" s="411"/>
      <c r="U215" s="412"/>
      <c r="V215" s="410"/>
      <c r="W215" s="409"/>
    </row>
    <row r="216" spans="12:23">
      <c r="L216" s="394" t="str">
        <f t="shared" si="7"/>
        <v/>
      </c>
      <c r="M216" s="394" t="str">
        <f>IF(OR(L216="",COUNTIF($M$4:M215,IF(ISERROR($R216*1),LEFT($R216,2)*1,$R216*1))&gt;=1),"-",IF(ISERROR($R216*1),LEFT($R216,2)*1,$R216*1))</f>
        <v>-</v>
      </c>
      <c r="N216" s="394" t="str">
        <f>IF(OR(L216="",COUNTIF($N$4:N215,V216*1)&gt;=1),"-",V216*1)</f>
        <v>-</v>
      </c>
      <c r="O216" s="409"/>
      <c r="P216" s="409"/>
      <c r="Q216" s="409"/>
      <c r="R216" s="409"/>
      <c r="S216" s="410"/>
      <c r="T216" s="411"/>
      <c r="U216" s="412"/>
      <c r="V216" s="410"/>
      <c r="W216" s="409"/>
    </row>
    <row r="217" spans="12:23">
      <c r="L217" s="394" t="str">
        <f t="shared" si="7"/>
        <v/>
      </c>
      <c r="M217" s="394" t="str">
        <f>IF(OR(L217="",COUNTIF($M$4:M216,IF(ISERROR($R217*1),LEFT($R217,2)*1,$R217*1))&gt;=1),"-",IF(ISERROR($R217*1),LEFT($R217,2)*1,$R217*1))</f>
        <v>-</v>
      </c>
      <c r="N217" s="394" t="str">
        <f>IF(OR(L217="",COUNTIF($N$4:N216,V217*1)&gt;=1),"-",V217*1)</f>
        <v>-</v>
      </c>
      <c r="O217" s="409"/>
      <c r="P217" s="409"/>
      <c r="Q217" s="409"/>
      <c r="R217" s="409"/>
      <c r="S217" s="410"/>
      <c r="T217" s="411"/>
      <c r="U217" s="412"/>
      <c r="V217" s="410"/>
      <c r="W217" s="409"/>
    </row>
    <row r="218" spans="12:23">
      <c r="L218" s="394" t="str">
        <f t="shared" si="7"/>
        <v/>
      </c>
      <c r="M218" s="394" t="str">
        <f>IF(OR(L218="",COUNTIF($M$4:M217,IF(ISERROR($R218*1),LEFT($R218,2)*1,$R218*1))&gt;=1),"-",IF(ISERROR($R218*1),LEFT($R218,2)*1,$R218*1))</f>
        <v>-</v>
      </c>
      <c r="N218" s="394" t="str">
        <f>IF(OR(L218="",COUNTIF($N$4:N217,V218*1)&gt;=1),"-",V218*1)</f>
        <v>-</v>
      </c>
      <c r="O218" s="409"/>
      <c r="P218" s="409"/>
      <c r="Q218" s="409"/>
      <c r="R218" s="409"/>
      <c r="S218" s="410"/>
      <c r="T218" s="411"/>
      <c r="U218" s="412"/>
      <c r="V218" s="410"/>
      <c r="W218" s="409"/>
    </row>
    <row r="219" spans="12:23">
      <c r="L219" s="394" t="str">
        <f t="shared" si="7"/>
        <v/>
      </c>
      <c r="M219" s="394" t="str">
        <f>IF(OR(L219="",COUNTIF($M$4:M218,IF(ISERROR($R219*1),LEFT($R219,2)*1,$R219*1))&gt;=1),"-",IF(ISERROR($R219*1),LEFT($R219,2)*1,$R219*1))</f>
        <v>-</v>
      </c>
      <c r="N219" s="394" t="str">
        <f>IF(OR(L219="",COUNTIF($N$4:N218,V219*1)&gt;=1),"-",V219*1)</f>
        <v>-</v>
      </c>
      <c r="O219" s="409"/>
      <c r="P219" s="409"/>
      <c r="Q219" s="409"/>
      <c r="R219" s="409"/>
      <c r="S219" s="410"/>
      <c r="T219" s="411"/>
      <c r="U219" s="412"/>
      <c r="V219" s="410"/>
      <c r="W219" s="409"/>
    </row>
    <row r="220" spans="12:23">
      <c r="L220" s="394" t="str">
        <f t="shared" si="7"/>
        <v/>
      </c>
      <c r="M220" s="394" t="str">
        <f>IF(OR(L220="",COUNTIF($M$4:M219,IF(ISERROR($R220*1),LEFT($R220,2)*1,$R220*1))&gt;=1),"-",IF(ISERROR($R220*1),LEFT($R220,2)*1,$R220*1))</f>
        <v>-</v>
      </c>
      <c r="N220" s="394" t="str">
        <f>IF(OR(L220="",COUNTIF($N$4:N219,V220*1)&gt;=1),"-",V220*1)</f>
        <v>-</v>
      </c>
      <c r="O220" s="409"/>
      <c r="P220" s="409"/>
      <c r="Q220" s="409"/>
      <c r="R220" s="409"/>
      <c r="S220" s="410"/>
      <c r="T220" s="411"/>
      <c r="U220" s="412"/>
      <c r="V220" s="410"/>
      <c r="W220" s="409"/>
    </row>
    <row r="221" spans="12:23">
      <c r="L221" s="394" t="str">
        <f t="shared" si="7"/>
        <v/>
      </c>
      <c r="M221" s="394" t="str">
        <f>IF(OR(L221="",COUNTIF($M$4:M220,IF(ISERROR($R221*1),LEFT($R221,2)*1,$R221*1))&gt;=1),"-",IF(ISERROR($R221*1),LEFT($R221,2)*1,$R221*1))</f>
        <v>-</v>
      </c>
      <c r="N221" s="394" t="str">
        <f>IF(OR(L221="",COUNTIF($N$4:N220,V221*1)&gt;=1),"-",V221*1)</f>
        <v>-</v>
      </c>
      <c r="O221" s="409"/>
      <c r="P221" s="409"/>
      <c r="Q221" s="409"/>
      <c r="R221" s="409"/>
      <c r="S221" s="410"/>
      <c r="T221" s="411"/>
      <c r="U221" s="412"/>
      <c r="V221" s="410"/>
      <c r="W221" s="409"/>
    </row>
    <row r="222" spans="12:23">
      <c r="L222" s="394" t="str">
        <f t="shared" si="7"/>
        <v/>
      </c>
      <c r="M222" s="394" t="str">
        <f>IF(OR(L222="",COUNTIF($M$4:M221,IF(ISERROR($R222*1),LEFT($R222,2)*1,$R222*1))&gt;=1),"-",IF(ISERROR($R222*1),LEFT($R222,2)*1,$R222*1))</f>
        <v>-</v>
      </c>
      <c r="N222" s="394" t="str">
        <f>IF(OR(L222="",COUNTIF($N$4:N221,V222*1)&gt;=1),"-",V222*1)</f>
        <v>-</v>
      </c>
      <c r="O222" s="409"/>
      <c r="P222" s="409"/>
      <c r="Q222" s="409"/>
      <c r="R222" s="409"/>
      <c r="S222" s="410"/>
      <c r="T222" s="411"/>
      <c r="U222" s="412"/>
      <c r="V222" s="410"/>
      <c r="W222" s="409"/>
    </row>
    <row r="223" spans="12:23">
      <c r="L223" s="394" t="str">
        <f t="shared" si="7"/>
        <v/>
      </c>
      <c r="M223" s="394" t="str">
        <f>IF(OR(L223="",COUNTIF($M$4:M222,IF(ISERROR($R223*1),LEFT($R223,2)*1,$R223*1))&gt;=1),"-",IF(ISERROR($R223*1),LEFT($R223,2)*1,$R223*1))</f>
        <v>-</v>
      </c>
      <c r="N223" s="394" t="str">
        <f>IF(OR(L223="",COUNTIF($N$4:N222,V223*1)&gt;=1),"-",V223*1)</f>
        <v>-</v>
      </c>
      <c r="O223" s="409"/>
      <c r="P223" s="409"/>
      <c r="Q223" s="409"/>
      <c r="R223" s="409"/>
      <c r="S223" s="410"/>
      <c r="T223" s="411"/>
      <c r="U223" s="412"/>
      <c r="V223" s="410"/>
      <c r="W223" s="409"/>
    </row>
    <row r="224" spans="12:23">
      <c r="L224" s="394" t="str">
        <f t="shared" si="7"/>
        <v/>
      </c>
      <c r="M224" s="394" t="str">
        <f>IF(OR(L224="",COUNTIF($M$4:M223,IF(ISERROR($R224*1),LEFT($R224,2)*1,$R224*1))&gt;=1),"-",IF(ISERROR($R224*1),LEFT($R224,2)*1,$R224*1))</f>
        <v>-</v>
      </c>
      <c r="N224" s="394" t="str">
        <f>IF(OR(L224="",COUNTIF($N$4:N223,V224*1)&gt;=1),"-",V224*1)</f>
        <v>-</v>
      </c>
      <c r="O224" s="409"/>
      <c r="P224" s="409"/>
      <c r="Q224" s="409"/>
      <c r="R224" s="409"/>
      <c r="S224" s="410"/>
      <c r="T224" s="411"/>
      <c r="U224" s="412"/>
      <c r="V224" s="410"/>
      <c r="W224" s="409"/>
    </row>
    <row r="225" spans="12:23">
      <c r="L225" s="394" t="str">
        <f t="shared" si="7"/>
        <v/>
      </c>
      <c r="M225" s="394" t="str">
        <f>IF(OR(L225="",COUNTIF($M$4:M224,IF(ISERROR($R225*1),LEFT($R225,2)*1,$R225*1))&gt;=1),"-",IF(ISERROR($R225*1),LEFT($R225,2)*1,$R225*1))</f>
        <v>-</v>
      </c>
      <c r="N225" s="394" t="str">
        <f>IF(OR(L225="",COUNTIF($N$4:N224,V225*1)&gt;=1),"-",V225*1)</f>
        <v>-</v>
      </c>
      <c r="O225" s="409"/>
      <c r="P225" s="409"/>
      <c r="Q225" s="409"/>
      <c r="R225" s="409"/>
      <c r="S225" s="410"/>
      <c r="T225" s="411"/>
      <c r="U225" s="412"/>
      <c r="V225" s="410"/>
      <c r="W225" s="409"/>
    </row>
    <row r="226" spans="12:23">
      <c r="L226" s="394" t="str">
        <f t="shared" si="7"/>
        <v/>
      </c>
      <c r="M226" s="394" t="str">
        <f>IF(OR(L226="",COUNTIF($M$4:M225,IF(ISERROR($R226*1),LEFT($R226,2)*1,$R226*1))&gt;=1),"-",IF(ISERROR($R226*1),LEFT($R226,2)*1,$R226*1))</f>
        <v>-</v>
      </c>
      <c r="N226" s="394" t="str">
        <f>IF(OR(L226="",COUNTIF($N$4:N225,V226*1)&gt;=1),"-",V226*1)</f>
        <v>-</v>
      </c>
      <c r="O226" s="409"/>
      <c r="P226" s="409"/>
      <c r="Q226" s="409"/>
      <c r="R226" s="409"/>
      <c r="S226" s="410"/>
      <c r="T226" s="411"/>
      <c r="U226" s="412"/>
      <c r="V226" s="410"/>
      <c r="W226" s="409"/>
    </row>
    <row r="227" spans="12:23">
      <c r="L227" s="394" t="str">
        <f t="shared" si="7"/>
        <v/>
      </c>
      <c r="M227" s="394" t="str">
        <f>IF(OR(L227="",COUNTIF($M$4:M226,IF(ISERROR($R227*1),LEFT($R227,2)*1,$R227*1))&gt;=1),"-",IF(ISERROR($R227*1),LEFT($R227,2)*1,$R227*1))</f>
        <v>-</v>
      </c>
      <c r="N227" s="394" t="str">
        <f>IF(OR(L227="",COUNTIF($N$4:N226,V227*1)&gt;=1),"-",V227*1)</f>
        <v>-</v>
      </c>
      <c r="O227" s="409"/>
      <c r="P227" s="409"/>
      <c r="Q227" s="409"/>
      <c r="R227" s="409"/>
      <c r="S227" s="410"/>
      <c r="T227" s="411"/>
      <c r="U227" s="412"/>
      <c r="V227" s="410"/>
      <c r="W227" s="409"/>
    </row>
    <row r="228" spans="12:23">
      <c r="L228" s="394" t="str">
        <f t="shared" si="7"/>
        <v/>
      </c>
      <c r="M228" s="394" t="str">
        <f>IF(OR(L228="",COUNTIF($M$4:M227,IF(ISERROR($R228*1),LEFT($R228,2)*1,$R228*1))&gt;=1),"-",IF(ISERROR($R228*1),LEFT($R228,2)*1,$R228*1))</f>
        <v>-</v>
      </c>
      <c r="N228" s="394" t="str">
        <f>IF(OR(L228="",COUNTIF($N$4:N227,V228*1)&gt;=1),"-",V228*1)</f>
        <v>-</v>
      </c>
      <c r="O228" s="409"/>
      <c r="P228" s="409"/>
      <c r="Q228" s="409"/>
      <c r="R228" s="409"/>
      <c r="S228" s="410"/>
      <c r="T228" s="411"/>
      <c r="U228" s="412"/>
      <c r="V228" s="410"/>
      <c r="W228" s="409"/>
    </row>
    <row r="229" spans="12:23">
      <c r="L229" s="394" t="str">
        <f t="shared" si="7"/>
        <v/>
      </c>
      <c r="M229" s="394" t="str">
        <f>IF(OR(L229="",COUNTIF($M$4:M228,IF(ISERROR($R229*1),LEFT($R229,2)*1,$R229*1))&gt;=1),"-",IF(ISERROR($R229*1),LEFT($R229,2)*1,$R229*1))</f>
        <v>-</v>
      </c>
      <c r="N229" s="394" t="str">
        <f>IF(OR(L229="",COUNTIF($N$4:N228,V229*1)&gt;=1),"-",V229*1)</f>
        <v>-</v>
      </c>
      <c r="O229" s="409"/>
      <c r="P229" s="409"/>
      <c r="Q229" s="409"/>
      <c r="R229" s="409"/>
      <c r="S229" s="410"/>
      <c r="T229" s="411"/>
      <c r="U229" s="412"/>
      <c r="V229" s="410"/>
      <c r="W229" s="409"/>
    </row>
    <row r="230" spans="12:23">
      <c r="L230" s="394" t="str">
        <f t="shared" si="7"/>
        <v/>
      </c>
      <c r="M230" s="394" t="str">
        <f>IF(OR(L230="",COUNTIF($M$4:M229,IF(ISERROR($R230*1),LEFT($R230,2)*1,$R230*1))&gt;=1),"-",IF(ISERROR($R230*1),LEFT($R230,2)*1,$R230*1))</f>
        <v>-</v>
      </c>
      <c r="N230" s="394" t="str">
        <f>IF(OR(L230="",COUNTIF($N$4:N229,V230*1)&gt;=1),"-",V230*1)</f>
        <v>-</v>
      </c>
      <c r="O230" s="409"/>
      <c r="P230" s="409"/>
      <c r="Q230" s="409"/>
      <c r="R230" s="409"/>
      <c r="S230" s="410"/>
      <c r="T230" s="411"/>
      <c r="U230" s="412"/>
      <c r="V230" s="410"/>
      <c r="W230" s="409"/>
    </row>
    <row r="231" spans="12:23">
      <c r="L231" s="394" t="str">
        <f t="shared" si="7"/>
        <v/>
      </c>
      <c r="M231" s="394" t="str">
        <f>IF(OR(L231="",COUNTIF($M$4:M230,IF(ISERROR($R231*1),LEFT($R231,2)*1,$R231*1))&gt;=1),"-",IF(ISERROR($R231*1),LEFT($R231,2)*1,$R231*1))</f>
        <v>-</v>
      </c>
      <c r="N231" s="394" t="str">
        <f>IF(OR(L231="",COUNTIF($N$4:N230,V231*1)&gt;=1),"-",V231*1)</f>
        <v>-</v>
      </c>
      <c r="O231" s="409"/>
      <c r="P231" s="409"/>
      <c r="Q231" s="409"/>
      <c r="R231" s="409"/>
      <c r="S231" s="410"/>
      <c r="T231" s="411"/>
      <c r="U231" s="412"/>
      <c r="V231" s="410"/>
      <c r="W231" s="409"/>
    </row>
    <row r="232" spans="12:23">
      <c r="L232" s="394" t="str">
        <f t="shared" si="7"/>
        <v/>
      </c>
      <c r="M232" s="394" t="str">
        <f>IF(OR(L232="",COUNTIF($M$4:M231,IF(ISERROR($R232*1),LEFT($R232,2)*1,$R232*1))&gt;=1),"-",IF(ISERROR($R232*1),LEFT($R232,2)*1,$R232*1))</f>
        <v>-</v>
      </c>
      <c r="N232" s="394" t="str">
        <f>IF(OR(L232="",COUNTIF($N$4:N231,V232*1)&gt;=1),"-",V232*1)</f>
        <v>-</v>
      </c>
      <c r="O232" s="409"/>
      <c r="P232" s="409"/>
      <c r="Q232" s="409"/>
      <c r="R232" s="409"/>
      <c r="S232" s="410"/>
      <c r="T232" s="411"/>
      <c r="U232" s="412"/>
      <c r="V232" s="410"/>
      <c r="W232" s="409"/>
    </row>
    <row r="233" spans="12:23">
      <c r="L233" s="394" t="str">
        <f t="shared" si="7"/>
        <v/>
      </c>
      <c r="M233" s="394" t="str">
        <f>IF(OR(L233="",COUNTIF($M$4:M232,IF(ISERROR($R233*1),LEFT($R233,2)*1,$R233*1))&gt;=1),"-",IF(ISERROR($R233*1),LEFT($R233,2)*1,$R233*1))</f>
        <v>-</v>
      </c>
      <c r="N233" s="394" t="str">
        <f>IF(OR(L233="",COUNTIF($N$4:N232,V233*1)&gt;=1),"-",V233*1)</f>
        <v>-</v>
      </c>
      <c r="O233" s="409"/>
      <c r="P233" s="409"/>
      <c r="Q233" s="409"/>
      <c r="R233" s="409"/>
      <c r="S233" s="410"/>
      <c r="T233" s="411"/>
      <c r="U233" s="412"/>
      <c r="V233" s="410"/>
      <c r="W233" s="409"/>
    </row>
    <row r="234" spans="12:23">
      <c r="L234" s="394" t="str">
        <f t="shared" si="7"/>
        <v/>
      </c>
      <c r="M234" s="394" t="str">
        <f>IF(OR(L234="",COUNTIF($M$4:M233,IF(ISERROR($R234*1),LEFT($R234,2)*1,$R234*1))&gt;=1),"-",IF(ISERROR($R234*1),LEFT($R234,2)*1,$R234*1))</f>
        <v>-</v>
      </c>
      <c r="N234" s="394" t="str">
        <f>IF(OR(L234="",COUNTIF($N$4:N233,V234*1)&gt;=1),"-",V234*1)</f>
        <v>-</v>
      </c>
      <c r="O234" s="409"/>
      <c r="P234" s="409"/>
      <c r="Q234" s="409"/>
      <c r="R234" s="409"/>
      <c r="S234" s="410"/>
      <c r="T234" s="411"/>
      <c r="U234" s="412"/>
      <c r="V234" s="410"/>
      <c r="W234" s="409"/>
    </row>
    <row r="235" spans="12:23">
      <c r="L235" s="394" t="str">
        <f t="shared" si="7"/>
        <v/>
      </c>
      <c r="M235" s="394" t="str">
        <f>IF(OR(L235="",COUNTIF($M$4:M234,IF(ISERROR($R235*1),LEFT($R235,2)*1,$R235*1))&gt;=1),"-",IF(ISERROR($R235*1),LEFT($R235,2)*1,$R235*1))</f>
        <v>-</v>
      </c>
      <c r="N235" s="394" t="str">
        <f>IF(OR(L235="",COUNTIF($N$4:N234,V235*1)&gt;=1),"-",V235*1)</f>
        <v>-</v>
      </c>
      <c r="O235" s="409"/>
      <c r="P235" s="409"/>
      <c r="Q235" s="409"/>
      <c r="R235" s="409"/>
      <c r="S235" s="410"/>
      <c r="T235" s="411"/>
      <c r="U235" s="412"/>
      <c r="V235" s="410"/>
      <c r="W235" s="409"/>
    </row>
    <row r="236" spans="12:23">
      <c r="L236" s="394" t="str">
        <f t="shared" si="7"/>
        <v/>
      </c>
      <c r="M236" s="394" t="str">
        <f>IF(OR(L236="",COUNTIF($M$4:M235,IF(ISERROR($R236*1),LEFT($R236,2)*1,$R236*1))&gt;=1),"-",IF(ISERROR($R236*1),LEFT($R236,2)*1,$R236*1))</f>
        <v>-</v>
      </c>
      <c r="N236" s="394" t="str">
        <f>IF(OR(L236="",COUNTIF($N$4:N235,V236*1)&gt;=1),"-",V236*1)</f>
        <v>-</v>
      </c>
      <c r="O236" s="409"/>
      <c r="P236" s="409"/>
      <c r="Q236" s="409"/>
      <c r="R236" s="409"/>
      <c r="S236" s="410"/>
      <c r="T236" s="411"/>
      <c r="U236" s="412"/>
      <c r="V236" s="410"/>
      <c r="W236" s="409"/>
    </row>
    <row r="237" spans="12:23">
      <c r="L237" s="394" t="str">
        <f t="shared" si="7"/>
        <v/>
      </c>
      <c r="M237" s="394" t="str">
        <f>IF(OR(L237="",COUNTIF($M$4:M236,IF(ISERROR($R237*1),LEFT($R237,2)*1,$R237*1))&gt;=1),"-",IF(ISERROR($R237*1),LEFT($R237,2)*1,$R237*1))</f>
        <v>-</v>
      </c>
      <c r="N237" s="394" t="str">
        <f>IF(OR(L237="",COUNTIF($N$4:N236,V237*1)&gt;=1),"-",V237*1)</f>
        <v>-</v>
      </c>
      <c r="O237" s="409"/>
      <c r="P237" s="409"/>
      <c r="Q237" s="409"/>
      <c r="R237" s="409"/>
      <c r="S237" s="410"/>
      <c r="T237" s="411"/>
      <c r="U237" s="412"/>
      <c r="V237" s="410"/>
      <c r="W237" s="409"/>
    </row>
    <row r="238" spans="12:23">
      <c r="L238" s="394" t="str">
        <f t="shared" si="7"/>
        <v/>
      </c>
      <c r="M238" s="394" t="str">
        <f>IF(OR(L238="",COUNTIF($M$4:M237,IF(ISERROR($R238*1),LEFT($R238,2)*1,$R238*1))&gt;=1),"-",IF(ISERROR($R238*1),LEFT($R238,2)*1,$R238*1))</f>
        <v>-</v>
      </c>
      <c r="N238" s="394" t="str">
        <f>IF(OR(L238="",COUNTIF($N$4:N237,V238*1)&gt;=1),"-",V238*1)</f>
        <v>-</v>
      </c>
      <c r="O238" s="409"/>
      <c r="P238" s="409"/>
      <c r="Q238" s="409"/>
      <c r="R238" s="409"/>
      <c r="S238" s="410"/>
      <c r="T238" s="411"/>
      <c r="U238" s="412"/>
      <c r="V238" s="410"/>
      <c r="W238" s="409"/>
    </row>
    <row r="239" spans="12:23">
      <c r="L239" s="394" t="str">
        <f t="shared" si="7"/>
        <v/>
      </c>
      <c r="M239" s="394" t="str">
        <f>IF(OR(L239="",COUNTIF($M$4:M238,IF(ISERROR($R239*1),LEFT($R239,2)*1,$R239*1))&gt;=1),"-",IF(ISERROR($R239*1),LEFT($R239,2)*1,$R239*1))</f>
        <v>-</v>
      </c>
      <c r="N239" s="394" t="str">
        <f>IF(OR(L239="",COUNTIF($N$4:N238,V239*1)&gt;=1),"-",V239*1)</f>
        <v>-</v>
      </c>
      <c r="O239" s="409"/>
      <c r="P239" s="409"/>
      <c r="Q239" s="409"/>
      <c r="R239" s="409"/>
      <c r="S239" s="410"/>
      <c r="T239" s="411"/>
      <c r="U239" s="412"/>
      <c r="V239" s="410"/>
      <c r="W239" s="409"/>
    </row>
    <row r="240" spans="12:23">
      <c r="L240" s="394" t="str">
        <f t="shared" si="7"/>
        <v/>
      </c>
      <c r="M240" s="394" t="str">
        <f>IF(OR(L240="",COUNTIF($M$4:M239,IF(ISERROR($R240*1),LEFT($R240,2)*1,$R240*1))&gt;=1),"-",IF(ISERROR($R240*1),LEFT($R240,2)*1,$R240*1))</f>
        <v>-</v>
      </c>
      <c r="N240" s="394" t="str">
        <f>IF(OR(L240="",COUNTIF($N$4:N239,V240*1)&gt;=1),"-",V240*1)</f>
        <v>-</v>
      </c>
      <c r="O240" s="409"/>
      <c r="P240" s="409"/>
      <c r="Q240" s="409"/>
      <c r="R240" s="409"/>
      <c r="S240" s="410"/>
      <c r="T240" s="411"/>
      <c r="U240" s="412"/>
      <c r="V240" s="410"/>
      <c r="W240" s="409"/>
    </row>
    <row r="241" spans="12:23">
      <c r="L241" s="394" t="str">
        <f t="shared" si="7"/>
        <v/>
      </c>
      <c r="M241" s="394" t="str">
        <f>IF(OR(L241="",COUNTIF($M$4:M240,IF(ISERROR($R241*1),LEFT($R241,2)*1,$R241*1))&gt;=1),"-",IF(ISERROR($R241*1),LEFT($R241,2)*1,$R241*1))</f>
        <v>-</v>
      </c>
      <c r="N241" s="394" t="str">
        <f>IF(OR(L241="",COUNTIF($N$4:N240,V241*1)&gt;=1),"-",V241*1)</f>
        <v>-</v>
      </c>
      <c r="O241" s="409"/>
      <c r="P241" s="409"/>
      <c r="Q241" s="409"/>
      <c r="R241" s="409"/>
      <c r="S241" s="410"/>
      <c r="T241" s="411"/>
      <c r="U241" s="412"/>
      <c r="V241" s="410"/>
      <c r="W241" s="409"/>
    </row>
    <row r="242" spans="12:23">
      <c r="L242" s="394" t="str">
        <f t="shared" si="7"/>
        <v/>
      </c>
      <c r="M242" s="394" t="str">
        <f>IF(OR(L242="",COUNTIF($M$4:M241,IF(ISERROR($R242*1),LEFT($R242,2)*1,$R242*1))&gt;=1),"-",IF(ISERROR($R242*1),LEFT($R242,2)*1,$R242*1))</f>
        <v>-</v>
      </c>
      <c r="N242" s="394" t="str">
        <f>IF(OR(L242="",COUNTIF($N$4:N241,V242*1)&gt;=1),"-",V242*1)</f>
        <v>-</v>
      </c>
      <c r="O242" s="409"/>
      <c r="P242" s="409"/>
      <c r="Q242" s="409"/>
      <c r="R242" s="409"/>
      <c r="S242" s="410"/>
      <c r="T242" s="411"/>
      <c r="U242" s="412"/>
      <c r="V242" s="410"/>
      <c r="W242" s="409"/>
    </row>
    <row r="243" spans="12:23">
      <c r="L243" s="394" t="str">
        <f t="shared" si="7"/>
        <v/>
      </c>
      <c r="M243" s="394" t="str">
        <f>IF(OR(L243="",COUNTIF($M$4:M242,IF(ISERROR($R243*1),LEFT($R243,2)*1,$R243*1))&gt;=1),"-",IF(ISERROR($R243*1),LEFT($R243,2)*1,$R243*1))</f>
        <v>-</v>
      </c>
      <c r="N243" s="394" t="str">
        <f>IF(OR(L243="",COUNTIF($N$4:N242,V243*1)&gt;=1),"-",V243*1)</f>
        <v>-</v>
      </c>
      <c r="O243" s="409"/>
      <c r="P243" s="409"/>
      <c r="Q243" s="409"/>
      <c r="R243" s="409"/>
      <c r="S243" s="410"/>
      <c r="T243" s="411"/>
      <c r="U243" s="412"/>
      <c r="V243" s="410"/>
      <c r="W243" s="409"/>
    </row>
    <row r="244" spans="12:23">
      <c r="L244" s="394" t="str">
        <f t="shared" si="7"/>
        <v/>
      </c>
      <c r="M244" s="394" t="str">
        <f>IF(OR(L244="",COUNTIF($M$4:M243,IF(ISERROR($R244*1),LEFT($R244,2)*1,$R244*1))&gt;=1),"-",IF(ISERROR($R244*1),LEFT($R244,2)*1,$R244*1))</f>
        <v>-</v>
      </c>
      <c r="N244" s="394" t="str">
        <f>IF(OR(L244="",COUNTIF($N$4:N243,V244*1)&gt;=1),"-",V244*1)</f>
        <v>-</v>
      </c>
      <c r="O244" s="409"/>
      <c r="P244" s="409"/>
      <c r="Q244" s="409"/>
      <c r="R244" s="409"/>
      <c r="S244" s="410"/>
      <c r="T244" s="411"/>
      <c r="U244" s="412"/>
      <c r="V244" s="410"/>
      <c r="W244" s="409"/>
    </row>
    <row r="245" spans="12:23">
      <c r="L245" s="394" t="str">
        <f t="shared" si="7"/>
        <v/>
      </c>
      <c r="M245" s="394" t="str">
        <f>IF(OR(L245="",COUNTIF($M$4:M244,IF(ISERROR($R245*1),LEFT($R245,2)*1,$R245*1))&gt;=1),"-",IF(ISERROR($R245*1),LEFT($R245,2)*1,$R245*1))</f>
        <v>-</v>
      </c>
      <c r="N245" s="394" t="str">
        <f>IF(OR(L245="",COUNTIF($N$4:N244,V245*1)&gt;=1),"-",V245*1)</f>
        <v>-</v>
      </c>
      <c r="O245" s="409"/>
      <c r="P245" s="409"/>
      <c r="Q245" s="409"/>
      <c r="R245" s="409"/>
      <c r="S245" s="410"/>
      <c r="T245" s="411"/>
      <c r="U245" s="412"/>
      <c r="V245" s="410"/>
      <c r="W245" s="409"/>
    </row>
    <row r="246" spans="12:23">
      <c r="L246" s="394" t="str">
        <f t="shared" si="7"/>
        <v/>
      </c>
      <c r="M246" s="394" t="str">
        <f>IF(OR(L246="",COUNTIF($M$4:M245,IF(ISERROR($R246*1),LEFT($R246,2)*1,$R246*1))&gt;=1),"-",IF(ISERROR($R246*1),LEFT($R246,2)*1,$R246*1))</f>
        <v>-</v>
      </c>
      <c r="N246" s="394" t="str">
        <f>IF(OR(L246="",COUNTIF($N$4:N245,V246*1)&gt;=1),"-",V246*1)</f>
        <v>-</v>
      </c>
      <c r="O246" s="409"/>
      <c r="P246" s="409"/>
      <c r="Q246" s="409"/>
      <c r="R246" s="409"/>
      <c r="S246" s="410"/>
      <c r="T246" s="411"/>
      <c r="U246" s="412"/>
      <c r="V246" s="410"/>
      <c r="W246" s="409"/>
    </row>
    <row r="247" spans="12:23">
      <c r="L247" s="394" t="str">
        <f t="shared" si="7"/>
        <v/>
      </c>
      <c r="M247" s="394" t="str">
        <f>IF(OR(L247="",COUNTIF($M$4:M246,IF(ISERROR($R247*1),LEFT($R247,2)*1,$R247*1))&gt;=1),"-",IF(ISERROR($R247*1),LEFT($R247,2)*1,$R247*1))</f>
        <v>-</v>
      </c>
      <c r="N247" s="394" t="str">
        <f>IF(OR(L247="",COUNTIF($N$4:N246,V247*1)&gt;=1),"-",V247*1)</f>
        <v>-</v>
      </c>
      <c r="O247" s="409"/>
      <c r="P247" s="409"/>
      <c r="Q247" s="409"/>
      <c r="R247" s="409"/>
      <c r="S247" s="410"/>
      <c r="T247" s="411"/>
      <c r="U247" s="412"/>
      <c r="V247" s="410"/>
      <c r="W247" s="409"/>
    </row>
    <row r="248" spans="12:23">
      <c r="L248" s="394" t="str">
        <f t="shared" si="7"/>
        <v/>
      </c>
      <c r="M248" s="394" t="str">
        <f>IF(OR(L248="",COUNTIF($M$4:M247,IF(ISERROR($R248*1),LEFT($R248,2)*1,$R248*1))&gt;=1),"-",IF(ISERROR($R248*1),LEFT($R248,2)*1,$R248*1))</f>
        <v>-</v>
      </c>
      <c r="N248" s="394" t="str">
        <f>IF(OR(L248="",COUNTIF($N$4:N247,V248*1)&gt;=1),"-",V248*1)</f>
        <v>-</v>
      </c>
      <c r="O248" s="409"/>
      <c r="P248" s="409"/>
      <c r="Q248" s="409"/>
      <c r="R248" s="409"/>
      <c r="S248" s="410"/>
      <c r="T248" s="411"/>
      <c r="U248" s="412"/>
      <c r="V248" s="410"/>
      <c r="W248" s="409"/>
    </row>
    <row r="249" spans="12:23">
      <c r="L249" s="394" t="str">
        <f t="shared" si="7"/>
        <v/>
      </c>
      <c r="M249" s="394" t="str">
        <f>IF(OR(L249="",COUNTIF($M$4:M248,IF(ISERROR($R249*1),LEFT($R249,2)*1,$R249*1))&gt;=1),"-",IF(ISERROR($R249*1),LEFT($R249,2)*1,$R249*1))</f>
        <v>-</v>
      </c>
      <c r="N249" s="394" t="str">
        <f>IF(OR(L249="",COUNTIF($N$4:N248,V249*1)&gt;=1),"-",V249*1)</f>
        <v>-</v>
      </c>
      <c r="O249" s="409"/>
      <c r="P249" s="409"/>
      <c r="Q249" s="409"/>
      <c r="R249" s="409"/>
      <c r="S249" s="410"/>
      <c r="T249" s="411"/>
      <c r="U249" s="412"/>
      <c r="V249" s="410"/>
      <c r="W249" s="409"/>
    </row>
    <row r="250" spans="12:23">
      <c r="L250" s="394" t="str">
        <f t="shared" si="7"/>
        <v/>
      </c>
      <c r="M250" s="394" t="str">
        <f>IF(OR(L250="",COUNTIF($M$4:M249,IF(ISERROR($R250*1),LEFT($R250,2)*1,$R250*1))&gt;=1),"-",IF(ISERROR($R250*1),LEFT($R250,2)*1,$R250*1))</f>
        <v>-</v>
      </c>
      <c r="N250" s="394" t="str">
        <f>IF(OR(L250="",COUNTIF($N$4:N249,V250*1)&gt;=1),"-",V250*1)</f>
        <v>-</v>
      </c>
      <c r="O250" s="409"/>
      <c r="P250" s="409"/>
      <c r="Q250" s="409"/>
      <c r="R250" s="409"/>
      <c r="S250" s="410"/>
      <c r="T250" s="411"/>
      <c r="U250" s="412"/>
      <c r="V250" s="410"/>
      <c r="W250" s="409"/>
    </row>
    <row r="251" spans="12:23">
      <c r="L251" s="394" t="str">
        <f t="shared" si="7"/>
        <v/>
      </c>
      <c r="M251" s="394" t="str">
        <f>IF(OR(L251="",COUNTIF($M$4:M250,IF(ISERROR($R251*1),LEFT($R251,2)*1,$R251*1))&gt;=1),"-",IF(ISERROR($R251*1),LEFT($R251,2)*1,$R251*1))</f>
        <v>-</v>
      </c>
      <c r="N251" s="394" t="str">
        <f>IF(OR(L251="",COUNTIF($N$4:N250,V251*1)&gt;=1),"-",V251*1)</f>
        <v>-</v>
      </c>
      <c r="O251" s="409"/>
      <c r="P251" s="409"/>
      <c r="Q251" s="409"/>
      <c r="R251" s="409"/>
      <c r="S251" s="410"/>
      <c r="T251" s="411"/>
      <c r="U251" s="412"/>
      <c r="V251" s="410"/>
      <c r="W251" s="409"/>
    </row>
    <row r="252" spans="12:23">
      <c r="L252" s="394" t="str">
        <f t="shared" si="7"/>
        <v/>
      </c>
      <c r="M252" s="394" t="str">
        <f>IF(OR(L252="",COUNTIF($M$4:M251,IF(ISERROR($R252*1),LEFT($R252,2)*1,$R252*1))&gt;=1),"-",IF(ISERROR($R252*1),LEFT($R252,2)*1,$R252*1))</f>
        <v>-</v>
      </c>
      <c r="N252" s="394" t="str">
        <f>IF(OR(L252="",COUNTIF($N$4:N251,V252*1)&gt;=1),"-",V252*1)</f>
        <v>-</v>
      </c>
      <c r="O252" s="409"/>
      <c r="P252" s="409"/>
      <c r="Q252" s="409"/>
      <c r="R252" s="409"/>
      <c r="S252" s="410"/>
      <c r="T252" s="411"/>
      <c r="U252" s="412"/>
      <c r="V252" s="410"/>
      <c r="W252" s="409"/>
    </row>
    <row r="253" spans="12:23">
      <c r="L253" s="394" t="str">
        <f t="shared" si="7"/>
        <v/>
      </c>
      <c r="M253" s="394" t="str">
        <f>IF(OR(L253="",COUNTIF($M$4:M252,IF(ISERROR($R253*1),LEFT($R253,2)*1,$R253*1))&gt;=1),"-",IF(ISERROR($R253*1),LEFT($R253,2)*1,$R253*1))</f>
        <v>-</v>
      </c>
      <c r="N253" s="394" t="str">
        <f>IF(OR(L253="",COUNTIF($N$4:N252,V253*1)&gt;=1),"-",V253*1)</f>
        <v>-</v>
      </c>
      <c r="O253" s="409"/>
      <c r="P253" s="409"/>
      <c r="Q253" s="409"/>
      <c r="R253" s="409"/>
      <c r="S253" s="410"/>
      <c r="T253" s="411"/>
      <c r="U253" s="412"/>
      <c r="V253" s="410"/>
      <c r="W253" s="409"/>
    </row>
    <row r="254" spans="12:23">
      <c r="L254" s="394" t="str">
        <f t="shared" si="7"/>
        <v/>
      </c>
      <c r="M254" s="394" t="str">
        <f>IF(OR(L254="",COUNTIF($M$4:M253,IF(ISERROR($R254*1),LEFT($R254,2)*1,$R254*1))&gt;=1),"-",IF(ISERROR($R254*1),LEFT($R254,2)*1,$R254*1))</f>
        <v>-</v>
      </c>
      <c r="N254" s="394" t="str">
        <f>IF(OR(L254="",COUNTIF($N$4:N253,V254*1)&gt;=1),"-",V254*1)</f>
        <v>-</v>
      </c>
      <c r="O254" s="409"/>
      <c r="P254" s="409"/>
      <c r="Q254" s="409"/>
      <c r="R254" s="409"/>
      <c r="S254" s="410"/>
      <c r="T254" s="411"/>
      <c r="U254" s="412"/>
      <c r="V254" s="410"/>
      <c r="W254" s="409"/>
    </row>
    <row r="255" spans="12:23">
      <c r="L255" s="394" t="str">
        <f t="shared" si="7"/>
        <v/>
      </c>
      <c r="M255" s="394" t="str">
        <f>IF(OR(L255="",COUNTIF($M$4:M254,IF(ISERROR($R255*1),LEFT($R255,2)*1,$R255*1))&gt;=1),"-",IF(ISERROR($R255*1),LEFT($R255,2)*1,$R255*1))</f>
        <v>-</v>
      </c>
      <c r="N255" s="394" t="str">
        <f>IF(OR(L255="",COUNTIF($N$4:N254,V255*1)&gt;=1),"-",V255*1)</f>
        <v>-</v>
      </c>
      <c r="O255" s="409"/>
      <c r="P255" s="409"/>
      <c r="Q255" s="409"/>
      <c r="R255" s="409"/>
      <c r="S255" s="410"/>
      <c r="T255" s="411"/>
      <c r="U255" s="412"/>
      <c r="V255" s="410"/>
      <c r="W255" s="409"/>
    </row>
    <row r="256" spans="12:23">
      <c r="L256" s="394" t="str">
        <f t="shared" si="7"/>
        <v/>
      </c>
      <c r="M256" s="394" t="str">
        <f>IF(OR(L256="",COUNTIF($M$4:M255,IF(ISERROR($R256*1),LEFT($R256,2)*1,$R256*1))&gt;=1),"-",IF(ISERROR($R256*1),LEFT($R256,2)*1,$R256*1))</f>
        <v>-</v>
      </c>
      <c r="N256" s="394" t="str">
        <f>IF(OR(L256="",COUNTIF($N$4:N255,V256*1)&gt;=1),"-",V256*1)</f>
        <v>-</v>
      </c>
      <c r="O256" s="409"/>
      <c r="P256" s="409"/>
      <c r="Q256" s="409"/>
      <c r="R256" s="409"/>
      <c r="S256" s="410"/>
      <c r="T256" s="411"/>
      <c r="U256" s="412"/>
      <c r="V256" s="410"/>
      <c r="W256" s="409"/>
    </row>
    <row r="257" spans="12:23">
      <c r="L257" s="394" t="str">
        <f t="shared" si="7"/>
        <v/>
      </c>
      <c r="M257" s="394" t="str">
        <f>IF(OR(L257="",COUNTIF($M$4:M256,IF(ISERROR($R257*1),LEFT($R257,2)*1,$R257*1))&gt;=1),"-",IF(ISERROR($R257*1),LEFT($R257,2)*1,$R257*1))</f>
        <v>-</v>
      </c>
      <c r="N257" s="394" t="str">
        <f>IF(OR(L257="",COUNTIF($N$4:N256,V257*1)&gt;=1),"-",V257*1)</f>
        <v>-</v>
      </c>
      <c r="O257" s="409"/>
      <c r="P257" s="409"/>
      <c r="Q257" s="409"/>
      <c r="R257" s="409"/>
      <c r="S257" s="410"/>
      <c r="T257" s="411"/>
      <c r="U257" s="412"/>
      <c r="V257" s="410"/>
      <c r="W257" s="409"/>
    </row>
    <row r="258" spans="12:23">
      <c r="L258" s="394" t="str">
        <f t="shared" si="7"/>
        <v/>
      </c>
      <c r="M258" s="394" t="str">
        <f>IF(OR(L258="",COUNTIF($M$4:M257,IF(ISERROR($R258*1),LEFT($R258,2)*1,$R258*1))&gt;=1),"-",IF(ISERROR($R258*1),LEFT($R258,2)*1,$R258*1))</f>
        <v>-</v>
      </c>
      <c r="N258" s="394" t="str">
        <f>IF(OR(L258="",COUNTIF($N$4:N257,V258*1)&gt;=1),"-",V258*1)</f>
        <v>-</v>
      </c>
      <c r="O258" s="409"/>
      <c r="P258" s="409"/>
      <c r="Q258" s="409"/>
      <c r="R258" s="409"/>
      <c r="S258" s="410"/>
      <c r="T258" s="411"/>
      <c r="U258" s="412"/>
      <c r="V258" s="410"/>
      <c r="W258" s="409"/>
    </row>
    <row r="259" spans="12:23">
      <c r="L259" s="394" t="str">
        <f t="shared" si="7"/>
        <v/>
      </c>
      <c r="M259" s="394" t="str">
        <f>IF(OR(L259="",COUNTIF($M$4:M258,IF(ISERROR($R259*1),LEFT($R259,2)*1,$R259*1))&gt;=1),"-",IF(ISERROR($R259*1),LEFT($R259,2)*1,$R259*1))</f>
        <v>-</v>
      </c>
      <c r="N259" s="394" t="str">
        <f>IF(OR(L259="",COUNTIF($N$4:N258,V259*1)&gt;=1),"-",V259*1)</f>
        <v>-</v>
      </c>
      <c r="O259" s="409"/>
      <c r="P259" s="409"/>
      <c r="Q259" s="409"/>
      <c r="R259" s="409"/>
      <c r="S259" s="410"/>
      <c r="T259" s="411"/>
      <c r="U259" s="412"/>
      <c r="V259" s="410"/>
      <c r="W259" s="409"/>
    </row>
    <row r="260" spans="12:23">
      <c r="L260" s="394" t="str">
        <f t="shared" ref="L260:L323" si="8">IF(P260&lt;&gt;$B$1,"",P260&amp;Q260&amp;R260&amp;V260)</f>
        <v/>
      </c>
      <c r="M260" s="394" t="str">
        <f>IF(OR(L260="",COUNTIF($M$4:M259,IF(ISERROR($R260*1),LEFT($R260,2)*1,$R260*1))&gt;=1),"-",IF(ISERROR($R260*1),LEFT($R260,2)*1,$R260*1))</f>
        <v>-</v>
      </c>
      <c r="N260" s="394" t="str">
        <f>IF(OR(L260="",COUNTIF($N$4:N259,V260*1)&gt;=1),"-",V260*1)</f>
        <v>-</v>
      </c>
      <c r="O260" s="409"/>
      <c r="P260" s="409"/>
      <c r="Q260" s="409"/>
      <c r="R260" s="409"/>
      <c r="S260" s="410"/>
      <c r="T260" s="411"/>
      <c r="U260" s="412"/>
      <c r="V260" s="410"/>
      <c r="W260" s="409"/>
    </row>
    <row r="261" spans="12:23">
      <c r="L261" s="394" t="str">
        <f t="shared" si="8"/>
        <v/>
      </c>
      <c r="M261" s="394" t="str">
        <f>IF(OR(L261="",COUNTIF($M$4:M260,IF(ISERROR($R261*1),LEFT($R261,2)*1,$R261*1))&gt;=1),"-",IF(ISERROR($R261*1),LEFT($R261,2)*1,$R261*1))</f>
        <v>-</v>
      </c>
      <c r="N261" s="394" t="str">
        <f>IF(OR(L261="",COUNTIF($N$4:N260,V261*1)&gt;=1),"-",V261*1)</f>
        <v>-</v>
      </c>
      <c r="O261" s="409"/>
      <c r="P261" s="409"/>
      <c r="Q261" s="409"/>
      <c r="R261" s="409"/>
      <c r="S261" s="410"/>
      <c r="T261" s="411"/>
      <c r="U261" s="412"/>
      <c r="V261" s="410"/>
      <c r="W261" s="409"/>
    </row>
    <row r="262" spans="12:23">
      <c r="L262" s="394" t="str">
        <f t="shared" si="8"/>
        <v/>
      </c>
      <c r="M262" s="394" t="str">
        <f>IF(OR(L262="",COUNTIF($M$4:M261,IF(ISERROR($R262*1),LEFT($R262,2)*1,$R262*1))&gt;=1),"-",IF(ISERROR($R262*1),LEFT($R262,2)*1,$R262*1))</f>
        <v>-</v>
      </c>
      <c r="N262" s="394" t="str">
        <f>IF(OR(L262="",COUNTIF($N$4:N261,V262*1)&gt;=1),"-",V262*1)</f>
        <v>-</v>
      </c>
      <c r="O262" s="409"/>
      <c r="P262" s="409"/>
      <c r="Q262" s="409"/>
      <c r="R262" s="409"/>
      <c r="S262" s="410"/>
      <c r="T262" s="411"/>
      <c r="U262" s="412"/>
      <c r="V262" s="410"/>
      <c r="W262" s="409"/>
    </row>
    <row r="263" spans="12:23">
      <c r="L263" s="394" t="str">
        <f t="shared" si="8"/>
        <v/>
      </c>
      <c r="M263" s="394" t="str">
        <f>IF(OR(L263="",COUNTIF($M$4:M262,IF(ISERROR($R263*1),LEFT($R263,2)*1,$R263*1))&gt;=1),"-",IF(ISERROR($R263*1),LEFT($R263,2)*1,$R263*1))</f>
        <v>-</v>
      </c>
      <c r="N263" s="394" t="str">
        <f>IF(OR(L263="",COUNTIF($N$4:N262,V263*1)&gt;=1),"-",V263*1)</f>
        <v>-</v>
      </c>
      <c r="O263" s="409"/>
      <c r="P263" s="409"/>
      <c r="Q263" s="409"/>
      <c r="R263" s="409"/>
      <c r="S263" s="410"/>
      <c r="T263" s="411"/>
      <c r="U263" s="412"/>
      <c r="V263" s="410"/>
      <c r="W263" s="409"/>
    </row>
    <row r="264" spans="12:23">
      <c r="L264" s="394" t="str">
        <f t="shared" si="8"/>
        <v/>
      </c>
      <c r="M264" s="394" t="str">
        <f>IF(OR(L264="",COUNTIF($M$4:M263,IF(ISERROR($R264*1),LEFT($R264,2)*1,$R264*1))&gt;=1),"-",IF(ISERROR($R264*1),LEFT($R264,2)*1,$R264*1))</f>
        <v>-</v>
      </c>
      <c r="N264" s="394" t="str">
        <f>IF(OR(L264="",COUNTIF($N$4:N263,V264*1)&gt;=1),"-",V264*1)</f>
        <v>-</v>
      </c>
      <c r="O264" s="409"/>
      <c r="P264" s="409"/>
      <c r="Q264" s="409"/>
      <c r="R264" s="409"/>
      <c r="S264" s="410"/>
      <c r="T264" s="411"/>
      <c r="U264" s="412"/>
      <c r="V264" s="410"/>
      <c r="W264" s="409"/>
    </row>
    <row r="265" spans="12:23">
      <c r="L265" s="394" t="str">
        <f t="shared" si="8"/>
        <v/>
      </c>
      <c r="M265" s="394" t="str">
        <f>IF(OR(L265="",COUNTIF($M$4:M264,IF(ISERROR($R265*1),LEFT($R265,2)*1,$R265*1))&gt;=1),"-",IF(ISERROR($R265*1),LEFT($R265,2)*1,$R265*1))</f>
        <v>-</v>
      </c>
      <c r="N265" s="394" t="str">
        <f>IF(OR(L265="",COUNTIF($N$4:N264,V265*1)&gt;=1),"-",V265*1)</f>
        <v>-</v>
      </c>
      <c r="O265" s="409"/>
      <c r="P265" s="409"/>
      <c r="Q265" s="409"/>
      <c r="R265" s="409"/>
      <c r="S265" s="410"/>
      <c r="T265" s="411"/>
      <c r="U265" s="412"/>
      <c r="V265" s="410"/>
      <c r="W265" s="409"/>
    </row>
    <row r="266" spans="12:23">
      <c r="L266" s="394" t="str">
        <f t="shared" si="8"/>
        <v/>
      </c>
      <c r="M266" s="394" t="str">
        <f>IF(OR(L266="",COUNTIF($M$4:M265,IF(ISERROR($R266*1),LEFT($R266,2)*1,$R266*1))&gt;=1),"-",IF(ISERROR($R266*1),LEFT($R266,2)*1,$R266*1))</f>
        <v>-</v>
      </c>
      <c r="N266" s="394" t="str">
        <f>IF(OR(L266="",COUNTIF($N$4:N265,V266*1)&gt;=1),"-",V266*1)</f>
        <v>-</v>
      </c>
      <c r="O266" s="409"/>
      <c r="P266" s="409"/>
      <c r="Q266" s="409"/>
      <c r="R266" s="409"/>
      <c r="S266" s="410"/>
      <c r="T266" s="411"/>
      <c r="U266" s="412"/>
      <c r="V266" s="410"/>
      <c r="W266" s="409"/>
    </row>
    <row r="267" spans="12:23">
      <c r="L267" s="394" t="str">
        <f t="shared" si="8"/>
        <v/>
      </c>
      <c r="M267" s="394" t="str">
        <f>IF(OR(L267="",COUNTIF($M$4:M266,IF(ISERROR($R267*1),LEFT($R267,2)*1,$R267*1))&gt;=1),"-",IF(ISERROR($R267*1),LEFT($R267,2)*1,$R267*1))</f>
        <v>-</v>
      </c>
      <c r="N267" s="394" t="str">
        <f>IF(OR(L267="",COUNTIF($N$4:N266,V267*1)&gt;=1),"-",V267*1)</f>
        <v>-</v>
      </c>
      <c r="O267" s="409"/>
      <c r="P267" s="409"/>
      <c r="Q267" s="409"/>
      <c r="R267" s="409"/>
      <c r="S267" s="410"/>
      <c r="T267" s="411"/>
      <c r="U267" s="412"/>
      <c r="V267" s="410"/>
      <c r="W267" s="409"/>
    </row>
    <row r="268" spans="12:23">
      <c r="L268" s="394" t="str">
        <f t="shared" si="8"/>
        <v/>
      </c>
      <c r="M268" s="394" t="str">
        <f>IF(OR(L268="",COUNTIF($M$4:M267,IF(ISERROR($R268*1),LEFT($R268,2)*1,$R268*1))&gt;=1),"-",IF(ISERROR($R268*1),LEFT($R268,2)*1,$R268*1))</f>
        <v>-</v>
      </c>
      <c r="N268" s="394" t="str">
        <f>IF(OR(L268="",COUNTIF($N$4:N267,V268*1)&gt;=1),"-",V268*1)</f>
        <v>-</v>
      </c>
      <c r="O268" s="409"/>
      <c r="P268" s="409"/>
      <c r="Q268" s="409"/>
      <c r="R268" s="409"/>
      <c r="S268" s="410"/>
      <c r="T268" s="411"/>
      <c r="U268" s="412"/>
      <c r="V268" s="410"/>
      <c r="W268" s="409"/>
    </row>
    <row r="269" spans="12:23">
      <c r="L269" s="394" t="str">
        <f t="shared" si="8"/>
        <v/>
      </c>
      <c r="M269" s="394" t="str">
        <f>IF(OR(L269="",COUNTIF($M$4:M268,IF(ISERROR($R269*1),LEFT($R269,2)*1,$R269*1))&gt;=1),"-",IF(ISERROR($R269*1),LEFT($R269,2)*1,$R269*1))</f>
        <v>-</v>
      </c>
      <c r="N269" s="394" t="str">
        <f>IF(OR(L269="",COUNTIF($N$4:N268,V269*1)&gt;=1),"-",V269*1)</f>
        <v>-</v>
      </c>
      <c r="O269" s="409"/>
      <c r="P269" s="409"/>
      <c r="Q269" s="409"/>
      <c r="R269" s="409"/>
      <c r="S269" s="410"/>
      <c r="T269" s="411"/>
      <c r="U269" s="412"/>
      <c r="V269" s="410"/>
      <c r="W269" s="409"/>
    </row>
    <row r="270" spans="12:23">
      <c r="L270" s="394" t="str">
        <f t="shared" si="8"/>
        <v/>
      </c>
      <c r="M270" s="394" t="str">
        <f>IF(OR(L270="",COUNTIF($M$4:M269,IF(ISERROR($R270*1),LEFT($R270,2)*1,$R270*1))&gt;=1),"-",IF(ISERROR($R270*1),LEFT($R270,2)*1,$R270*1))</f>
        <v>-</v>
      </c>
      <c r="N270" s="394" t="str">
        <f>IF(OR(L270="",COUNTIF($N$4:N269,V270*1)&gt;=1),"-",V270*1)</f>
        <v>-</v>
      </c>
      <c r="O270" s="409"/>
      <c r="P270" s="409"/>
      <c r="Q270" s="409"/>
      <c r="R270" s="409"/>
      <c r="S270" s="410"/>
      <c r="T270" s="411"/>
      <c r="U270" s="412"/>
      <c r="V270" s="410"/>
      <c r="W270" s="409"/>
    </row>
    <row r="271" spans="12:23">
      <c r="L271" s="394" t="str">
        <f t="shared" si="8"/>
        <v/>
      </c>
      <c r="M271" s="394" t="str">
        <f>IF(OR(L271="",COUNTIF($M$4:M270,IF(ISERROR($R271*1),LEFT($R271,2)*1,$R271*1))&gt;=1),"-",IF(ISERROR($R271*1),LEFT($R271,2)*1,$R271*1))</f>
        <v>-</v>
      </c>
      <c r="N271" s="394" t="str">
        <f>IF(OR(L271="",COUNTIF($N$4:N270,V271*1)&gt;=1),"-",V271*1)</f>
        <v>-</v>
      </c>
      <c r="O271" s="409"/>
      <c r="P271" s="409"/>
      <c r="Q271" s="409"/>
      <c r="R271" s="409"/>
      <c r="S271" s="410"/>
      <c r="T271" s="411"/>
      <c r="U271" s="412"/>
      <c r="V271" s="410"/>
      <c r="W271" s="409"/>
    </row>
    <row r="272" spans="12:23">
      <c r="L272" s="394" t="str">
        <f t="shared" si="8"/>
        <v/>
      </c>
      <c r="M272" s="394" t="str">
        <f>IF(OR(L272="",COUNTIF($M$4:M271,IF(ISERROR($R272*1),LEFT($R272,2)*1,$R272*1))&gt;=1),"-",IF(ISERROR($R272*1),LEFT($R272,2)*1,$R272*1))</f>
        <v>-</v>
      </c>
      <c r="N272" s="394" t="str">
        <f>IF(OR(L272="",COUNTIF($N$4:N271,V272*1)&gt;=1),"-",V272*1)</f>
        <v>-</v>
      </c>
      <c r="O272" s="409"/>
      <c r="P272" s="409"/>
      <c r="Q272" s="409"/>
      <c r="R272" s="409"/>
      <c r="S272" s="410"/>
      <c r="T272" s="411"/>
      <c r="U272" s="412"/>
      <c r="V272" s="410"/>
      <c r="W272" s="409"/>
    </row>
    <row r="273" spans="12:23">
      <c r="L273" s="394" t="str">
        <f t="shared" si="8"/>
        <v/>
      </c>
      <c r="M273" s="394" t="str">
        <f>IF(OR(L273="",COUNTIF($M$4:M272,IF(ISERROR($R273*1),LEFT($R273,2)*1,$R273*1))&gt;=1),"-",IF(ISERROR($R273*1),LEFT($R273,2)*1,$R273*1))</f>
        <v>-</v>
      </c>
      <c r="N273" s="394" t="str">
        <f>IF(OR(L273="",COUNTIF($N$4:N272,V273*1)&gt;=1),"-",V273*1)</f>
        <v>-</v>
      </c>
      <c r="O273" s="409"/>
      <c r="P273" s="409"/>
      <c r="Q273" s="409"/>
      <c r="R273" s="409"/>
      <c r="S273" s="410"/>
      <c r="T273" s="411"/>
      <c r="U273" s="412"/>
      <c r="V273" s="410"/>
      <c r="W273" s="409"/>
    </row>
    <row r="274" spans="12:23">
      <c r="L274" s="394" t="str">
        <f t="shared" si="8"/>
        <v/>
      </c>
      <c r="M274" s="394" t="str">
        <f>IF(OR(L274="",COUNTIF($M$4:M273,IF(ISERROR($R274*1),LEFT($R274,2)*1,$R274*1))&gt;=1),"-",IF(ISERROR($R274*1),LEFT($R274,2)*1,$R274*1))</f>
        <v>-</v>
      </c>
      <c r="N274" s="394" t="str">
        <f>IF(OR(L274="",COUNTIF($N$4:N273,V274*1)&gt;=1),"-",V274*1)</f>
        <v>-</v>
      </c>
      <c r="O274" s="409"/>
      <c r="P274" s="409"/>
      <c r="Q274" s="409"/>
      <c r="R274" s="409"/>
      <c r="S274" s="410"/>
      <c r="T274" s="411"/>
      <c r="U274" s="412"/>
      <c r="V274" s="410"/>
      <c r="W274" s="409"/>
    </row>
    <row r="275" spans="12:23">
      <c r="L275" s="394" t="str">
        <f t="shared" si="8"/>
        <v/>
      </c>
      <c r="M275" s="394" t="str">
        <f>IF(OR(L275="",COUNTIF($M$4:M274,IF(ISERROR($R275*1),LEFT($R275,2)*1,$R275*1))&gt;=1),"-",IF(ISERROR($R275*1),LEFT($R275,2)*1,$R275*1))</f>
        <v>-</v>
      </c>
      <c r="N275" s="394" t="str">
        <f>IF(OR(L275="",COUNTIF($N$4:N274,V275*1)&gt;=1),"-",V275*1)</f>
        <v>-</v>
      </c>
      <c r="O275" s="409"/>
      <c r="P275" s="409"/>
      <c r="Q275" s="409"/>
      <c r="R275" s="409"/>
      <c r="S275" s="410"/>
      <c r="T275" s="411"/>
      <c r="U275" s="412"/>
      <c r="V275" s="410"/>
      <c r="W275" s="409"/>
    </row>
    <row r="276" spans="12:23">
      <c r="L276" s="394" t="str">
        <f t="shared" si="8"/>
        <v/>
      </c>
      <c r="M276" s="394" t="str">
        <f>IF(OR(L276="",COUNTIF($M$4:M275,IF(ISERROR($R276*1),LEFT($R276,2)*1,$R276*1))&gt;=1),"-",IF(ISERROR($R276*1),LEFT($R276,2)*1,$R276*1))</f>
        <v>-</v>
      </c>
      <c r="N276" s="394" t="str">
        <f>IF(OR(L276="",COUNTIF($N$4:N275,V276*1)&gt;=1),"-",V276*1)</f>
        <v>-</v>
      </c>
      <c r="O276" s="409"/>
      <c r="P276" s="409"/>
      <c r="Q276" s="409"/>
      <c r="R276" s="409"/>
      <c r="S276" s="410"/>
      <c r="T276" s="411"/>
      <c r="U276" s="412"/>
      <c r="V276" s="410"/>
      <c r="W276" s="409"/>
    </row>
    <row r="277" spans="12:23">
      <c r="L277" s="394" t="str">
        <f t="shared" si="8"/>
        <v/>
      </c>
      <c r="M277" s="394" t="str">
        <f>IF(OR(L277="",COUNTIF($M$4:M276,IF(ISERROR($R277*1),LEFT($R277,2)*1,$R277*1))&gt;=1),"-",IF(ISERROR($R277*1),LEFT($R277,2)*1,$R277*1))</f>
        <v>-</v>
      </c>
      <c r="N277" s="394" t="str">
        <f>IF(OR(L277="",COUNTIF($N$4:N276,V277*1)&gt;=1),"-",V277*1)</f>
        <v>-</v>
      </c>
      <c r="O277" s="409"/>
      <c r="P277" s="409"/>
      <c r="Q277" s="409"/>
      <c r="R277" s="409"/>
      <c r="S277" s="410"/>
      <c r="T277" s="411"/>
      <c r="U277" s="412"/>
      <c r="V277" s="410"/>
      <c r="W277" s="409"/>
    </row>
    <row r="278" spans="12:23">
      <c r="L278" s="394" t="str">
        <f t="shared" si="8"/>
        <v/>
      </c>
      <c r="M278" s="394" t="str">
        <f>IF(OR(L278="",COUNTIF($M$4:M277,IF(ISERROR($R278*1),LEFT($R278,2)*1,$R278*1))&gt;=1),"-",IF(ISERROR($R278*1),LEFT($R278,2)*1,$R278*1))</f>
        <v>-</v>
      </c>
      <c r="N278" s="394" t="str">
        <f>IF(OR(L278="",COUNTIF($N$4:N277,V278*1)&gt;=1),"-",V278*1)</f>
        <v>-</v>
      </c>
      <c r="O278" s="409"/>
      <c r="P278" s="409"/>
      <c r="Q278" s="409"/>
      <c r="R278" s="409"/>
      <c r="S278" s="410"/>
      <c r="T278" s="411"/>
      <c r="U278" s="412"/>
      <c r="V278" s="410"/>
      <c r="W278" s="409"/>
    </row>
    <row r="279" spans="12:23">
      <c r="L279" s="394" t="str">
        <f t="shared" si="8"/>
        <v/>
      </c>
      <c r="M279" s="394" t="str">
        <f>IF(OR(L279="",COUNTIF($M$4:M278,IF(ISERROR($R279*1),LEFT($R279,2)*1,$R279*1))&gt;=1),"-",IF(ISERROR($R279*1),LEFT($R279,2)*1,$R279*1))</f>
        <v>-</v>
      </c>
      <c r="N279" s="394" t="str">
        <f>IF(OR(L279="",COUNTIF($N$4:N278,V279*1)&gt;=1),"-",V279*1)</f>
        <v>-</v>
      </c>
      <c r="O279" s="409"/>
      <c r="P279" s="409"/>
      <c r="Q279" s="409"/>
      <c r="R279" s="409"/>
      <c r="S279" s="410"/>
      <c r="T279" s="411"/>
      <c r="U279" s="412"/>
      <c r="V279" s="410"/>
      <c r="W279" s="409"/>
    </row>
    <row r="280" spans="12:23">
      <c r="L280" s="394" t="str">
        <f t="shared" si="8"/>
        <v/>
      </c>
      <c r="M280" s="394" t="str">
        <f>IF(OR(L280="",COUNTIF($M$4:M279,IF(ISERROR($R280*1),LEFT($R280,2)*1,$R280*1))&gt;=1),"-",IF(ISERROR($R280*1),LEFT($R280,2)*1,$R280*1))</f>
        <v>-</v>
      </c>
      <c r="N280" s="394" t="str">
        <f>IF(OR(L280="",COUNTIF($N$4:N279,V280*1)&gt;=1),"-",V280*1)</f>
        <v>-</v>
      </c>
      <c r="O280" s="409"/>
      <c r="P280" s="409"/>
      <c r="Q280" s="409"/>
      <c r="R280" s="409"/>
      <c r="S280" s="410"/>
      <c r="T280" s="411"/>
      <c r="U280" s="412"/>
      <c r="V280" s="410"/>
      <c r="W280" s="409"/>
    </row>
    <row r="281" spans="12:23">
      <c r="L281" s="394" t="str">
        <f t="shared" si="8"/>
        <v/>
      </c>
      <c r="M281" s="394" t="str">
        <f>IF(OR(L281="",COUNTIF($M$4:M280,IF(ISERROR($R281*1),LEFT($R281,2)*1,$R281*1))&gt;=1),"-",IF(ISERROR($R281*1),LEFT($R281,2)*1,$R281*1))</f>
        <v>-</v>
      </c>
      <c r="N281" s="394" t="str">
        <f>IF(OR(L281="",COUNTIF($N$4:N280,V281*1)&gt;=1),"-",V281*1)</f>
        <v>-</v>
      </c>
      <c r="O281" s="409"/>
      <c r="P281" s="409"/>
      <c r="Q281" s="409"/>
      <c r="R281" s="409"/>
      <c r="S281" s="410"/>
      <c r="T281" s="411"/>
      <c r="U281" s="412"/>
      <c r="V281" s="410"/>
      <c r="W281" s="409"/>
    </row>
    <row r="282" spans="12:23">
      <c r="L282" s="394" t="str">
        <f t="shared" si="8"/>
        <v/>
      </c>
      <c r="M282" s="394" t="str">
        <f>IF(OR(L282="",COUNTIF($M$4:M281,IF(ISERROR($R282*1),LEFT($R282,2)*1,$R282*1))&gt;=1),"-",IF(ISERROR($R282*1),LEFT($R282,2)*1,$R282*1))</f>
        <v>-</v>
      </c>
      <c r="N282" s="394" t="str">
        <f>IF(OR(L282="",COUNTIF($N$4:N281,V282*1)&gt;=1),"-",V282*1)</f>
        <v>-</v>
      </c>
      <c r="O282" s="409"/>
      <c r="P282" s="409"/>
      <c r="Q282" s="409"/>
      <c r="R282" s="409"/>
      <c r="S282" s="410"/>
      <c r="T282" s="411"/>
      <c r="U282" s="412"/>
      <c r="V282" s="410"/>
      <c r="W282" s="409"/>
    </row>
    <row r="283" spans="12:23">
      <c r="L283" s="394" t="str">
        <f t="shared" si="8"/>
        <v/>
      </c>
      <c r="M283" s="394" t="str">
        <f>IF(OR(L283="",COUNTIF($M$4:M282,IF(ISERROR($R283*1),LEFT($R283,2)*1,$R283*1))&gt;=1),"-",IF(ISERROR($R283*1),LEFT($R283,2)*1,$R283*1))</f>
        <v>-</v>
      </c>
      <c r="N283" s="394" t="str">
        <f>IF(OR(L283="",COUNTIF($N$4:N282,V283*1)&gt;=1),"-",V283*1)</f>
        <v>-</v>
      </c>
      <c r="O283" s="409"/>
      <c r="P283" s="409"/>
      <c r="Q283" s="409"/>
      <c r="R283" s="409"/>
      <c r="S283" s="410"/>
      <c r="T283" s="411"/>
      <c r="U283" s="412"/>
      <c r="V283" s="410"/>
      <c r="W283" s="409"/>
    </row>
    <row r="284" spans="12:23">
      <c r="L284" s="394" t="str">
        <f t="shared" si="8"/>
        <v/>
      </c>
      <c r="M284" s="394" t="str">
        <f>IF(OR(L284="",COUNTIF($M$4:M283,IF(ISERROR($R284*1),LEFT($R284,2)*1,$R284*1))&gt;=1),"-",IF(ISERROR($R284*1),LEFT($R284,2)*1,$R284*1))</f>
        <v>-</v>
      </c>
      <c r="N284" s="394" t="str">
        <f>IF(OR(L284="",COUNTIF($N$4:N283,V284*1)&gt;=1),"-",V284*1)</f>
        <v>-</v>
      </c>
      <c r="O284" s="409"/>
      <c r="P284" s="409"/>
      <c r="Q284" s="409"/>
      <c r="R284" s="409"/>
      <c r="S284" s="410"/>
      <c r="T284" s="411"/>
      <c r="U284" s="412"/>
      <c r="V284" s="410"/>
      <c r="W284" s="409"/>
    </row>
    <row r="285" spans="12:23">
      <c r="L285" s="394" t="str">
        <f t="shared" si="8"/>
        <v/>
      </c>
      <c r="M285" s="394" t="str">
        <f>IF(OR(L285="",COUNTIF($M$4:M284,IF(ISERROR($R285*1),LEFT($R285,2)*1,$R285*1))&gt;=1),"-",IF(ISERROR($R285*1),LEFT($R285,2)*1,$R285*1))</f>
        <v>-</v>
      </c>
      <c r="N285" s="394" t="str">
        <f>IF(OR(L285="",COUNTIF($N$4:N284,V285*1)&gt;=1),"-",V285*1)</f>
        <v>-</v>
      </c>
      <c r="O285" s="409"/>
      <c r="P285" s="409"/>
      <c r="Q285" s="409"/>
      <c r="R285" s="409"/>
      <c r="S285" s="410"/>
      <c r="T285" s="411"/>
      <c r="U285" s="412"/>
      <c r="V285" s="410"/>
      <c r="W285" s="409"/>
    </row>
    <row r="286" spans="12:23">
      <c r="L286" s="394" t="str">
        <f t="shared" si="8"/>
        <v/>
      </c>
      <c r="M286" s="394" t="str">
        <f>IF(OR(L286="",COUNTIF($M$4:M285,IF(ISERROR($R286*1),LEFT($R286,2)*1,$R286*1))&gt;=1),"-",IF(ISERROR($R286*1),LEFT($R286,2)*1,$R286*1))</f>
        <v>-</v>
      </c>
      <c r="N286" s="394" t="str">
        <f>IF(OR(L286="",COUNTIF($N$4:N285,V286*1)&gt;=1),"-",V286*1)</f>
        <v>-</v>
      </c>
      <c r="O286" s="409"/>
      <c r="P286" s="409"/>
      <c r="Q286" s="409"/>
      <c r="R286" s="409"/>
      <c r="S286" s="410"/>
      <c r="T286" s="411"/>
      <c r="U286" s="412"/>
      <c r="V286" s="410"/>
      <c r="W286" s="409"/>
    </row>
    <row r="287" spans="12:23">
      <c r="L287" s="394" t="str">
        <f t="shared" si="8"/>
        <v/>
      </c>
      <c r="M287" s="394" t="str">
        <f>IF(OR(L287="",COUNTIF($M$4:M286,IF(ISERROR($R287*1),LEFT($R287,2)*1,$R287*1))&gt;=1),"-",IF(ISERROR($R287*1),LEFT($R287,2)*1,$R287*1))</f>
        <v>-</v>
      </c>
      <c r="N287" s="394" t="str">
        <f>IF(OR(L287="",COUNTIF($N$4:N286,V287*1)&gt;=1),"-",V287*1)</f>
        <v>-</v>
      </c>
      <c r="O287" s="409"/>
      <c r="P287" s="409"/>
      <c r="Q287" s="409"/>
      <c r="R287" s="409"/>
      <c r="S287" s="410"/>
      <c r="T287" s="411"/>
      <c r="U287" s="412"/>
      <c r="V287" s="410"/>
      <c r="W287" s="409"/>
    </row>
    <row r="288" spans="12:23">
      <c r="L288" s="394" t="str">
        <f t="shared" si="8"/>
        <v/>
      </c>
      <c r="M288" s="394" t="str">
        <f>IF(OR(L288="",COUNTIF($M$4:M287,IF(ISERROR($R288*1),LEFT($R288,2)*1,$R288*1))&gt;=1),"-",IF(ISERROR($R288*1),LEFT($R288,2)*1,$R288*1))</f>
        <v>-</v>
      </c>
      <c r="N288" s="394" t="str">
        <f>IF(OR(L288="",COUNTIF($N$4:N287,V288*1)&gt;=1),"-",V288*1)</f>
        <v>-</v>
      </c>
      <c r="O288" s="409"/>
      <c r="P288" s="409"/>
      <c r="Q288" s="409"/>
      <c r="R288" s="409"/>
      <c r="S288" s="410"/>
      <c r="T288" s="411"/>
      <c r="U288" s="412"/>
      <c r="V288" s="410"/>
      <c r="W288" s="409"/>
    </row>
    <row r="289" spans="12:23">
      <c r="L289" s="394" t="str">
        <f t="shared" si="8"/>
        <v/>
      </c>
      <c r="M289" s="394" t="str">
        <f>IF(OR(L289="",COUNTIF($M$4:M288,IF(ISERROR($R289*1),LEFT($R289,2)*1,$R289*1))&gt;=1),"-",IF(ISERROR($R289*1),LEFT($R289,2)*1,$R289*1))</f>
        <v>-</v>
      </c>
      <c r="N289" s="394" t="str">
        <f>IF(OR(L289="",COUNTIF($N$4:N288,V289*1)&gt;=1),"-",V289*1)</f>
        <v>-</v>
      </c>
      <c r="O289" s="409"/>
      <c r="P289" s="409"/>
      <c r="Q289" s="409"/>
      <c r="R289" s="409"/>
      <c r="S289" s="410"/>
      <c r="T289" s="411"/>
      <c r="U289" s="412"/>
      <c r="V289" s="410"/>
      <c r="W289" s="409"/>
    </row>
    <row r="290" spans="12:23">
      <c r="L290" s="394" t="str">
        <f t="shared" si="8"/>
        <v/>
      </c>
      <c r="M290" s="394" t="str">
        <f>IF(OR(L290="",COUNTIF($M$4:M289,IF(ISERROR($R290*1),LEFT($R290,2)*1,$R290*1))&gt;=1),"-",IF(ISERROR($R290*1),LEFT($R290,2)*1,$R290*1))</f>
        <v>-</v>
      </c>
      <c r="N290" s="394" t="str">
        <f>IF(OR(L290="",COUNTIF($N$4:N289,V290*1)&gt;=1),"-",V290*1)</f>
        <v>-</v>
      </c>
      <c r="O290" s="409"/>
      <c r="P290" s="409"/>
      <c r="Q290" s="409"/>
      <c r="R290" s="409"/>
      <c r="S290" s="410"/>
      <c r="T290" s="411"/>
      <c r="U290" s="412"/>
      <c r="V290" s="410"/>
      <c r="W290" s="409"/>
    </row>
    <row r="291" spans="12:23">
      <c r="L291" s="394" t="str">
        <f t="shared" si="8"/>
        <v/>
      </c>
      <c r="M291" s="394" t="str">
        <f>IF(OR(L291="",COUNTIF($M$4:M290,IF(ISERROR($R291*1),LEFT($R291,2)*1,$R291*1))&gt;=1),"-",IF(ISERROR($R291*1),LEFT($R291,2)*1,$R291*1))</f>
        <v>-</v>
      </c>
      <c r="N291" s="394" t="str">
        <f>IF(OR(L291="",COUNTIF($N$4:N290,V291*1)&gt;=1),"-",V291*1)</f>
        <v>-</v>
      </c>
      <c r="O291" s="409"/>
      <c r="P291" s="409"/>
      <c r="Q291" s="409"/>
      <c r="R291" s="409"/>
      <c r="S291" s="410"/>
      <c r="T291" s="411"/>
      <c r="U291" s="412"/>
      <c r="V291" s="410"/>
      <c r="W291" s="409"/>
    </row>
    <row r="292" spans="12:23">
      <c r="L292" s="394" t="str">
        <f t="shared" si="8"/>
        <v/>
      </c>
      <c r="M292" s="394" t="str">
        <f>IF(OR(L292="",COUNTIF($M$4:M291,IF(ISERROR($R292*1),LEFT($R292,2)*1,$R292*1))&gt;=1),"-",IF(ISERROR($R292*1),LEFT($R292,2)*1,$R292*1))</f>
        <v>-</v>
      </c>
      <c r="N292" s="394" t="str">
        <f>IF(OR(L292="",COUNTIF($N$4:N291,V292*1)&gt;=1),"-",V292*1)</f>
        <v>-</v>
      </c>
      <c r="O292" s="409"/>
      <c r="P292" s="409"/>
      <c r="Q292" s="409"/>
      <c r="R292" s="409"/>
      <c r="S292" s="410"/>
      <c r="T292" s="411"/>
      <c r="U292" s="412"/>
      <c r="V292" s="410"/>
      <c r="W292" s="409"/>
    </row>
    <row r="293" spans="12:23">
      <c r="L293" s="394" t="str">
        <f t="shared" si="8"/>
        <v/>
      </c>
      <c r="M293" s="394" t="str">
        <f>IF(OR(L293="",COUNTIF($M$4:M292,IF(ISERROR($R293*1),LEFT($R293,2)*1,$R293*1))&gt;=1),"-",IF(ISERROR($R293*1),LEFT($R293,2)*1,$R293*1))</f>
        <v>-</v>
      </c>
      <c r="N293" s="394" t="str">
        <f>IF(OR(L293="",COUNTIF($N$4:N292,V293*1)&gt;=1),"-",V293*1)</f>
        <v>-</v>
      </c>
      <c r="O293" s="409"/>
      <c r="P293" s="409"/>
      <c r="Q293" s="409"/>
      <c r="R293" s="409"/>
      <c r="S293" s="410"/>
      <c r="T293" s="411"/>
      <c r="U293" s="412"/>
      <c r="V293" s="410"/>
      <c r="W293" s="409"/>
    </row>
    <row r="294" spans="12:23">
      <c r="L294" s="394" t="str">
        <f t="shared" si="8"/>
        <v/>
      </c>
      <c r="M294" s="394" t="str">
        <f>IF(OR(L294="",COUNTIF($M$4:M293,IF(ISERROR($R294*1),LEFT($R294,2)*1,$R294*1))&gt;=1),"-",IF(ISERROR($R294*1),LEFT($R294,2)*1,$R294*1))</f>
        <v>-</v>
      </c>
      <c r="N294" s="394" t="str">
        <f>IF(OR(L294="",COUNTIF($N$4:N293,V294*1)&gt;=1),"-",V294*1)</f>
        <v>-</v>
      </c>
      <c r="O294" s="409"/>
      <c r="P294" s="409"/>
      <c r="Q294" s="409"/>
      <c r="R294" s="409"/>
      <c r="S294" s="410"/>
      <c r="T294" s="411"/>
      <c r="U294" s="412"/>
      <c r="V294" s="410"/>
      <c r="W294" s="409"/>
    </row>
    <row r="295" spans="12:23">
      <c r="L295" s="394" t="str">
        <f t="shared" si="8"/>
        <v/>
      </c>
      <c r="M295" s="394" t="str">
        <f>IF(OR(L295="",COUNTIF($M$4:M294,IF(ISERROR($R295*1),LEFT($R295,2)*1,$R295*1))&gt;=1),"-",IF(ISERROR($R295*1),LEFT($R295,2)*1,$R295*1))</f>
        <v>-</v>
      </c>
      <c r="N295" s="394" t="str">
        <f>IF(OR(L295="",COUNTIF($N$4:N294,V295*1)&gt;=1),"-",V295*1)</f>
        <v>-</v>
      </c>
      <c r="O295" s="409"/>
      <c r="P295" s="409"/>
      <c r="Q295" s="409"/>
      <c r="R295" s="409"/>
      <c r="S295" s="410"/>
      <c r="T295" s="411"/>
      <c r="U295" s="412"/>
      <c r="V295" s="410"/>
      <c r="W295" s="409"/>
    </row>
    <row r="296" spans="12:23">
      <c r="L296" s="394" t="str">
        <f t="shared" si="8"/>
        <v/>
      </c>
      <c r="M296" s="394" t="str">
        <f>IF(OR(L296="",COUNTIF($M$4:M295,IF(ISERROR($R296*1),LEFT($R296,2)*1,$R296*1))&gt;=1),"-",IF(ISERROR($R296*1),LEFT($R296,2)*1,$R296*1))</f>
        <v>-</v>
      </c>
      <c r="N296" s="394" t="str">
        <f>IF(OR(L296="",COUNTIF($N$4:N295,V296*1)&gt;=1),"-",V296*1)</f>
        <v>-</v>
      </c>
      <c r="O296" s="409"/>
      <c r="P296" s="409"/>
      <c r="Q296" s="409"/>
      <c r="R296" s="409"/>
      <c r="S296" s="410"/>
      <c r="T296" s="411"/>
      <c r="U296" s="412"/>
      <c r="V296" s="410"/>
      <c r="W296" s="409"/>
    </row>
    <row r="297" spans="12:23">
      <c r="L297" s="394" t="str">
        <f t="shared" si="8"/>
        <v/>
      </c>
      <c r="M297" s="394" t="str">
        <f>IF(OR(L297="",COUNTIF($M$4:M296,IF(ISERROR($R297*1),LEFT($R297,2)*1,$R297*1))&gt;=1),"-",IF(ISERROR($R297*1),LEFT($R297,2)*1,$R297*1))</f>
        <v>-</v>
      </c>
      <c r="N297" s="394" t="str">
        <f>IF(OR(L297="",COUNTIF($N$4:N296,V297*1)&gt;=1),"-",V297*1)</f>
        <v>-</v>
      </c>
      <c r="O297" s="409"/>
      <c r="P297" s="409"/>
      <c r="Q297" s="409"/>
      <c r="R297" s="409"/>
      <c r="S297" s="410"/>
      <c r="T297" s="411"/>
      <c r="U297" s="412"/>
      <c r="V297" s="410"/>
      <c r="W297" s="409"/>
    </row>
    <row r="298" spans="12:23">
      <c r="L298" s="394" t="str">
        <f t="shared" si="8"/>
        <v/>
      </c>
      <c r="M298" s="394" t="str">
        <f>IF(OR(L298="",COUNTIF($M$4:M297,IF(ISERROR($R298*1),LEFT($R298,2)*1,$R298*1))&gt;=1),"-",IF(ISERROR($R298*1),LEFT($R298,2)*1,$R298*1))</f>
        <v>-</v>
      </c>
      <c r="N298" s="394" t="str">
        <f>IF(OR(L298="",COUNTIF($N$4:N297,V298*1)&gt;=1),"-",V298*1)</f>
        <v>-</v>
      </c>
      <c r="O298" s="409"/>
      <c r="P298" s="409"/>
      <c r="Q298" s="409"/>
      <c r="R298" s="409"/>
      <c r="S298" s="410"/>
      <c r="T298" s="411"/>
      <c r="U298" s="412"/>
      <c r="V298" s="410"/>
      <c r="W298" s="409"/>
    </row>
    <row r="299" spans="12:23">
      <c r="L299" s="394" t="str">
        <f t="shared" si="8"/>
        <v/>
      </c>
      <c r="M299" s="394" t="str">
        <f>IF(OR(L299="",COUNTIF($M$4:M298,IF(ISERROR($R299*1),LEFT($R299,2)*1,$R299*1))&gt;=1),"-",IF(ISERROR($R299*1),LEFT($R299,2)*1,$R299*1))</f>
        <v>-</v>
      </c>
      <c r="N299" s="394" t="str">
        <f>IF(OR(L299="",COUNTIF($N$4:N298,V299*1)&gt;=1),"-",V299*1)</f>
        <v>-</v>
      </c>
      <c r="O299" s="409"/>
      <c r="P299" s="409"/>
      <c r="Q299" s="409"/>
      <c r="R299" s="409"/>
      <c r="S299" s="410"/>
      <c r="T299" s="411"/>
      <c r="U299" s="412"/>
      <c r="V299" s="410"/>
      <c r="W299" s="409"/>
    </row>
    <row r="300" spans="12:23">
      <c r="L300" s="394" t="str">
        <f t="shared" si="8"/>
        <v/>
      </c>
      <c r="M300" s="394" t="str">
        <f>IF(OR(L300="",COUNTIF($M$4:M299,IF(ISERROR($R300*1),LEFT($R300,2)*1,$R300*1))&gt;=1),"-",IF(ISERROR($R300*1),LEFT($R300,2)*1,$R300*1))</f>
        <v>-</v>
      </c>
      <c r="N300" s="394" t="str">
        <f>IF(OR(L300="",COUNTIF($N$4:N299,V300*1)&gt;=1),"-",V300*1)</f>
        <v>-</v>
      </c>
      <c r="O300" s="409"/>
      <c r="P300" s="409"/>
      <c r="Q300" s="409"/>
      <c r="R300" s="409"/>
      <c r="S300" s="410"/>
      <c r="T300" s="411"/>
      <c r="U300" s="412"/>
      <c r="V300" s="410"/>
      <c r="W300" s="409"/>
    </row>
    <row r="301" spans="12:23">
      <c r="L301" s="394" t="str">
        <f t="shared" si="8"/>
        <v/>
      </c>
      <c r="M301" s="394" t="str">
        <f>IF(OR(L301="",COUNTIF($M$4:M300,IF(ISERROR($R301*1),LEFT($R301,2)*1,$R301*1))&gt;=1),"-",IF(ISERROR($R301*1),LEFT($R301,2)*1,$R301*1))</f>
        <v>-</v>
      </c>
      <c r="N301" s="394" t="str">
        <f>IF(OR(L301="",COUNTIF($N$4:N300,V301*1)&gt;=1),"-",V301*1)</f>
        <v>-</v>
      </c>
      <c r="O301" s="409"/>
      <c r="P301" s="409"/>
      <c r="Q301" s="409"/>
      <c r="R301" s="409"/>
      <c r="S301" s="410"/>
      <c r="T301" s="411"/>
      <c r="U301" s="412"/>
      <c r="V301" s="410"/>
      <c r="W301" s="409"/>
    </row>
    <row r="302" spans="12:23">
      <c r="L302" s="394" t="str">
        <f t="shared" si="8"/>
        <v/>
      </c>
      <c r="M302" s="394" t="str">
        <f>IF(OR(L302="",COUNTIF($M$4:M301,IF(ISERROR($R302*1),LEFT($R302,2)*1,$R302*1))&gt;=1),"-",IF(ISERROR($R302*1),LEFT($R302,2)*1,$R302*1))</f>
        <v>-</v>
      </c>
      <c r="N302" s="394" t="str">
        <f>IF(OR(L302="",COUNTIF($N$4:N301,V302*1)&gt;=1),"-",V302*1)</f>
        <v>-</v>
      </c>
      <c r="O302" s="409"/>
      <c r="P302" s="409"/>
      <c r="Q302" s="409"/>
      <c r="R302" s="409"/>
      <c r="S302" s="410"/>
      <c r="T302" s="411"/>
      <c r="U302" s="412"/>
      <c r="V302" s="410"/>
      <c r="W302" s="409"/>
    </row>
    <row r="303" spans="12:23">
      <c r="L303" s="394" t="str">
        <f t="shared" si="8"/>
        <v/>
      </c>
      <c r="M303" s="394" t="str">
        <f>IF(OR(L303="",COUNTIF($M$4:M302,IF(ISERROR($R303*1),LEFT($R303,2)*1,$R303*1))&gt;=1),"-",IF(ISERROR($R303*1),LEFT($R303,2)*1,$R303*1))</f>
        <v>-</v>
      </c>
      <c r="N303" s="394" t="str">
        <f>IF(OR(L303="",COUNTIF($N$4:N302,V303*1)&gt;=1),"-",V303*1)</f>
        <v>-</v>
      </c>
      <c r="O303" s="409"/>
      <c r="P303" s="409"/>
      <c r="Q303" s="409"/>
      <c r="R303" s="409"/>
      <c r="S303" s="410"/>
      <c r="T303" s="411"/>
      <c r="U303" s="412"/>
      <c r="V303" s="410"/>
      <c r="W303" s="409"/>
    </row>
    <row r="304" spans="12:23">
      <c r="L304" s="394" t="str">
        <f t="shared" si="8"/>
        <v/>
      </c>
      <c r="M304" s="394" t="str">
        <f>IF(OR(L304="",COUNTIF($M$4:M303,IF(ISERROR($R304*1),LEFT($R304,2)*1,$R304*1))&gt;=1),"-",IF(ISERROR($R304*1),LEFT($R304,2)*1,$R304*1))</f>
        <v>-</v>
      </c>
      <c r="N304" s="394" t="str">
        <f>IF(OR(L304="",COUNTIF($N$4:N303,V304*1)&gt;=1),"-",V304*1)</f>
        <v>-</v>
      </c>
      <c r="O304" s="409"/>
      <c r="P304" s="409"/>
      <c r="Q304" s="409"/>
      <c r="R304" s="409"/>
      <c r="S304" s="410"/>
      <c r="T304" s="411"/>
      <c r="U304" s="412"/>
      <c r="V304" s="410"/>
      <c r="W304" s="409"/>
    </row>
    <row r="305" spans="12:23">
      <c r="L305" s="394" t="str">
        <f t="shared" si="8"/>
        <v/>
      </c>
      <c r="M305" s="394" t="str">
        <f>IF(OR(L305="",COUNTIF($M$4:M304,IF(ISERROR($R305*1),LEFT($R305,2)*1,$R305*1))&gt;=1),"-",IF(ISERROR($R305*1),LEFT($R305,2)*1,$R305*1))</f>
        <v>-</v>
      </c>
      <c r="N305" s="394" t="str">
        <f>IF(OR(L305="",COUNTIF($N$4:N304,V305*1)&gt;=1),"-",V305*1)</f>
        <v>-</v>
      </c>
      <c r="O305" s="409"/>
      <c r="P305" s="409"/>
      <c r="Q305" s="409"/>
      <c r="R305" s="409"/>
      <c r="S305" s="410"/>
      <c r="T305" s="411"/>
      <c r="U305" s="412"/>
      <c r="V305" s="410"/>
      <c r="W305" s="409"/>
    </row>
    <row r="306" spans="12:23">
      <c r="L306" s="394" t="str">
        <f t="shared" si="8"/>
        <v/>
      </c>
      <c r="M306" s="394" t="str">
        <f>IF(OR(L306="",COUNTIF($M$4:M305,IF(ISERROR($R306*1),LEFT($R306,2)*1,$R306*1))&gt;=1),"-",IF(ISERROR($R306*1),LEFT($R306,2)*1,$R306*1))</f>
        <v>-</v>
      </c>
      <c r="N306" s="394" t="str">
        <f>IF(OR(L306="",COUNTIF($N$4:N305,V306*1)&gt;=1),"-",V306*1)</f>
        <v>-</v>
      </c>
      <c r="O306" s="409"/>
      <c r="P306" s="409"/>
      <c r="Q306" s="409"/>
      <c r="R306" s="409"/>
      <c r="S306" s="410"/>
      <c r="T306" s="411"/>
      <c r="U306" s="412"/>
      <c r="V306" s="410"/>
      <c r="W306" s="409"/>
    </row>
    <row r="307" spans="12:23">
      <c r="L307" s="394" t="str">
        <f t="shared" si="8"/>
        <v/>
      </c>
      <c r="M307" s="394" t="str">
        <f>IF(OR(L307="",COUNTIF($M$4:M306,IF(ISERROR($R307*1),LEFT($R307,2)*1,$R307*1))&gt;=1),"-",IF(ISERROR($R307*1),LEFT($R307,2)*1,$R307*1))</f>
        <v>-</v>
      </c>
      <c r="N307" s="394" t="str">
        <f>IF(OR(L307="",COUNTIF($N$4:N306,V307*1)&gt;=1),"-",V307*1)</f>
        <v>-</v>
      </c>
      <c r="O307" s="409"/>
      <c r="P307" s="409"/>
      <c r="Q307" s="409"/>
      <c r="R307" s="409"/>
      <c r="S307" s="410"/>
      <c r="T307" s="411"/>
      <c r="U307" s="412"/>
      <c r="V307" s="410"/>
      <c r="W307" s="409"/>
    </row>
    <row r="308" spans="12:23">
      <c r="L308" s="394" t="str">
        <f t="shared" si="8"/>
        <v/>
      </c>
      <c r="M308" s="394" t="str">
        <f>IF(OR(L308="",COUNTIF($M$4:M307,IF(ISERROR($R308*1),LEFT($R308,2)*1,$R308*1))&gt;=1),"-",IF(ISERROR($R308*1),LEFT($R308,2)*1,$R308*1))</f>
        <v>-</v>
      </c>
      <c r="N308" s="394" t="str">
        <f>IF(OR(L308="",COUNTIF($N$4:N307,V308*1)&gt;=1),"-",V308*1)</f>
        <v>-</v>
      </c>
      <c r="O308" s="409"/>
      <c r="P308" s="409"/>
      <c r="Q308" s="409"/>
      <c r="R308" s="409"/>
      <c r="S308" s="410"/>
      <c r="T308" s="411"/>
      <c r="U308" s="412"/>
      <c r="V308" s="410"/>
      <c r="W308" s="409"/>
    </row>
    <row r="309" spans="12:23">
      <c r="L309" s="394" t="str">
        <f t="shared" si="8"/>
        <v/>
      </c>
      <c r="M309" s="394" t="str">
        <f>IF(OR(L309="",COUNTIF($M$4:M308,IF(ISERROR($R309*1),LEFT($R309,2)*1,$R309*1))&gt;=1),"-",IF(ISERROR($R309*1),LEFT($R309,2)*1,$R309*1))</f>
        <v>-</v>
      </c>
      <c r="N309" s="394" t="str">
        <f>IF(OR(L309="",COUNTIF($N$4:N308,V309*1)&gt;=1),"-",V309*1)</f>
        <v>-</v>
      </c>
      <c r="O309" s="409"/>
      <c r="P309" s="409"/>
      <c r="Q309" s="409"/>
      <c r="R309" s="409"/>
      <c r="S309" s="410"/>
      <c r="T309" s="411"/>
      <c r="U309" s="412"/>
      <c r="V309" s="410"/>
      <c r="W309" s="409"/>
    </row>
    <row r="310" spans="12:23">
      <c r="L310" s="394" t="str">
        <f t="shared" si="8"/>
        <v/>
      </c>
      <c r="M310" s="394" t="str">
        <f>IF(OR(L310="",COUNTIF($M$4:M309,IF(ISERROR($R310*1),LEFT($R310,2)*1,$R310*1))&gt;=1),"-",IF(ISERROR($R310*1),LEFT($R310,2)*1,$R310*1))</f>
        <v>-</v>
      </c>
      <c r="N310" s="394" t="str">
        <f>IF(OR(L310="",COUNTIF($N$4:N309,V310*1)&gt;=1),"-",V310*1)</f>
        <v>-</v>
      </c>
      <c r="O310" s="409"/>
      <c r="P310" s="409"/>
      <c r="Q310" s="409"/>
      <c r="R310" s="409"/>
      <c r="S310" s="410"/>
      <c r="T310" s="411"/>
      <c r="U310" s="412"/>
      <c r="V310" s="410"/>
      <c r="W310" s="409"/>
    </row>
    <row r="311" spans="12:23">
      <c r="L311" s="394" t="str">
        <f t="shared" si="8"/>
        <v/>
      </c>
      <c r="M311" s="394" t="str">
        <f>IF(OR(L311="",COUNTIF($M$4:M310,IF(ISERROR($R311*1),LEFT($R311,2)*1,$R311*1))&gt;=1),"-",IF(ISERROR($R311*1),LEFT($R311,2)*1,$R311*1))</f>
        <v>-</v>
      </c>
      <c r="N311" s="394" t="str">
        <f>IF(OR(L311="",COUNTIF($N$4:N310,V311*1)&gt;=1),"-",V311*1)</f>
        <v>-</v>
      </c>
      <c r="O311" s="409"/>
      <c r="P311" s="409"/>
      <c r="Q311" s="409"/>
      <c r="R311" s="409"/>
      <c r="S311" s="410"/>
      <c r="T311" s="411"/>
      <c r="U311" s="412"/>
      <c r="V311" s="410"/>
      <c r="W311" s="409"/>
    </row>
    <row r="312" spans="12:23">
      <c r="L312" s="394" t="str">
        <f t="shared" si="8"/>
        <v/>
      </c>
      <c r="M312" s="394" t="str">
        <f>IF(OR(L312="",COUNTIF($M$4:M311,IF(ISERROR($R312*1),LEFT($R312,2)*1,$R312*1))&gt;=1),"-",IF(ISERROR($R312*1),LEFT($R312,2)*1,$R312*1))</f>
        <v>-</v>
      </c>
      <c r="N312" s="394" t="str">
        <f>IF(OR(L312="",COUNTIF($N$4:N311,V312*1)&gt;=1),"-",V312*1)</f>
        <v>-</v>
      </c>
      <c r="O312" s="409"/>
      <c r="P312" s="409"/>
      <c r="Q312" s="409"/>
      <c r="R312" s="409"/>
      <c r="S312" s="410"/>
      <c r="T312" s="411"/>
      <c r="U312" s="412"/>
      <c r="V312" s="410"/>
      <c r="W312" s="409"/>
    </row>
    <row r="313" spans="12:23">
      <c r="L313" s="394" t="str">
        <f t="shared" si="8"/>
        <v/>
      </c>
      <c r="M313" s="394" t="str">
        <f>IF(OR(L313="",COUNTIF($M$4:M312,IF(ISERROR($R313*1),LEFT($R313,2)*1,$R313*1))&gt;=1),"-",IF(ISERROR($R313*1),LEFT($R313,2)*1,$R313*1))</f>
        <v>-</v>
      </c>
      <c r="N313" s="394" t="str">
        <f>IF(OR(L313="",COUNTIF($N$4:N312,V313*1)&gt;=1),"-",V313*1)</f>
        <v>-</v>
      </c>
      <c r="O313" s="409"/>
      <c r="P313" s="409"/>
      <c r="Q313" s="409"/>
      <c r="R313" s="409"/>
      <c r="S313" s="410"/>
      <c r="T313" s="411"/>
      <c r="U313" s="412"/>
      <c r="V313" s="410"/>
      <c r="W313" s="409"/>
    </row>
    <row r="314" spans="12:23">
      <c r="L314" s="394" t="str">
        <f t="shared" si="8"/>
        <v/>
      </c>
      <c r="M314" s="394" t="str">
        <f>IF(OR(L314="",COUNTIF($M$4:M313,IF(ISERROR($R314*1),LEFT($R314,2)*1,$R314*1))&gt;=1),"-",IF(ISERROR($R314*1),LEFT($R314,2)*1,$R314*1))</f>
        <v>-</v>
      </c>
      <c r="N314" s="394" t="str">
        <f>IF(OR(L314="",COUNTIF($N$4:N313,V314*1)&gt;=1),"-",V314*1)</f>
        <v>-</v>
      </c>
      <c r="O314" s="409"/>
      <c r="P314" s="409"/>
      <c r="Q314" s="409"/>
      <c r="R314" s="409"/>
      <c r="S314" s="410"/>
      <c r="T314" s="411"/>
      <c r="U314" s="412"/>
      <c r="V314" s="410"/>
      <c r="W314" s="409"/>
    </row>
    <row r="315" spans="12:23">
      <c r="L315" s="394" t="str">
        <f t="shared" si="8"/>
        <v/>
      </c>
      <c r="M315" s="394" t="str">
        <f>IF(OR(L315="",COUNTIF($M$4:M314,IF(ISERROR($R315*1),LEFT($R315,2)*1,$R315*1))&gt;=1),"-",IF(ISERROR($R315*1),LEFT($R315,2)*1,$R315*1))</f>
        <v>-</v>
      </c>
      <c r="N315" s="394" t="str">
        <f>IF(OR(L315="",COUNTIF($N$4:N314,V315*1)&gt;=1),"-",V315*1)</f>
        <v>-</v>
      </c>
      <c r="O315" s="409"/>
      <c r="P315" s="409"/>
      <c r="Q315" s="409"/>
      <c r="R315" s="409"/>
      <c r="S315" s="410"/>
      <c r="T315" s="411"/>
      <c r="U315" s="412"/>
      <c r="V315" s="410"/>
      <c r="W315" s="409"/>
    </row>
    <row r="316" spans="12:23">
      <c r="L316" s="394" t="str">
        <f t="shared" si="8"/>
        <v/>
      </c>
      <c r="M316" s="394" t="str">
        <f>IF(OR(L316="",COUNTIF($M$4:M315,IF(ISERROR($R316*1),LEFT($R316,2)*1,$R316*1))&gt;=1),"-",IF(ISERROR($R316*1),LEFT($R316,2)*1,$R316*1))</f>
        <v>-</v>
      </c>
      <c r="N316" s="394" t="str">
        <f>IF(OR(L316="",COUNTIF($N$4:N315,V316*1)&gt;=1),"-",V316*1)</f>
        <v>-</v>
      </c>
      <c r="O316" s="409"/>
      <c r="P316" s="409"/>
      <c r="Q316" s="409"/>
      <c r="R316" s="409"/>
      <c r="S316" s="410"/>
      <c r="T316" s="411"/>
      <c r="U316" s="412"/>
      <c r="V316" s="410"/>
      <c r="W316" s="409"/>
    </row>
    <row r="317" spans="12:23">
      <c r="L317" s="394" t="str">
        <f t="shared" si="8"/>
        <v/>
      </c>
      <c r="M317" s="394" t="str">
        <f>IF(OR(L317="",COUNTIF($M$4:M316,IF(ISERROR($R317*1),LEFT($R317,2)*1,$R317*1))&gt;=1),"-",IF(ISERROR($R317*1),LEFT($R317,2)*1,$R317*1))</f>
        <v>-</v>
      </c>
      <c r="N317" s="394" t="str">
        <f>IF(OR(L317="",COUNTIF($N$4:N316,V317*1)&gt;=1),"-",V317*1)</f>
        <v>-</v>
      </c>
      <c r="O317" s="409"/>
      <c r="P317" s="409"/>
      <c r="Q317" s="409"/>
      <c r="R317" s="409"/>
      <c r="S317" s="410"/>
      <c r="T317" s="411"/>
      <c r="U317" s="412"/>
      <c r="V317" s="410"/>
      <c r="W317" s="409"/>
    </row>
    <row r="318" spans="12:23">
      <c r="L318" s="394" t="str">
        <f t="shared" si="8"/>
        <v/>
      </c>
      <c r="M318" s="394" t="str">
        <f>IF(OR(L318="",COUNTIF($M$4:M317,IF(ISERROR($R318*1),LEFT($R318,2)*1,$R318*1))&gt;=1),"-",IF(ISERROR($R318*1),LEFT($R318,2)*1,$R318*1))</f>
        <v>-</v>
      </c>
      <c r="N318" s="394" t="str">
        <f>IF(OR(L318="",COUNTIF($N$4:N317,V318*1)&gt;=1),"-",V318*1)</f>
        <v>-</v>
      </c>
      <c r="O318" s="409"/>
      <c r="P318" s="409"/>
      <c r="Q318" s="409"/>
      <c r="R318" s="409"/>
      <c r="S318" s="410"/>
      <c r="T318" s="411"/>
      <c r="U318" s="412"/>
      <c r="V318" s="410"/>
      <c r="W318" s="409"/>
    </row>
    <row r="319" spans="12:23">
      <c r="L319" s="394" t="str">
        <f t="shared" si="8"/>
        <v/>
      </c>
      <c r="M319" s="394" t="str">
        <f>IF(OR(L319="",COUNTIF($M$4:M318,IF(ISERROR($R319*1),LEFT($R319,2)*1,$R319*1))&gt;=1),"-",IF(ISERROR($R319*1),LEFT($R319,2)*1,$R319*1))</f>
        <v>-</v>
      </c>
      <c r="N319" s="394" t="str">
        <f>IF(OR(L319="",COUNTIF($N$4:N318,V319*1)&gt;=1),"-",V319*1)</f>
        <v>-</v>
      </c>
      <c r="O319" s="409"/>
      <c r="P319" s="409"/>
      <c r="Q319" s="409"/>
      <c r="R319" s="409"/>
      <c r="S319" s="410"/>
      <c r="T319" s="411"/>
      <c r="U319" s="412"/>
      <c r="V319" s="410"/>
      <c r="W319" s="409"/>
    </row>
    <row r="320" spans="12:23">
      <c r="L320" s="394" t="str">
        <f t="shared" si="8"/>
        <v/>
      </c>
      <c r="M320" s="394" t="str">
        <f>IF(OR(L320="",COUNTIF($M$4:M319,IF(ISERROR($R320*1),LEFT($R320,2)*1,$R320*1))&gt;=1),"-",IF(ISERROR($R320*1),LEFT($R320,2)*1,$R320*1))</f>
        <v>-</v>
      </c>
      <c r="N320" s="394" t="str">
        <f>IF(OR(L320="",COUNTIF($N$4:N319,V320*1)&gt;=1),"-",V320*1)</f>
        <v>-</v>
      </c>
      <c r="O320" s="409"/>
      <c r="P320" s="409"/>
      <c r="Q320" s="409"/>
      <c r="R320" s="409"/>
      <c r="S320" s="410"/>
      <c r="T320" s="411"/>
      <c r="U320" s="412"/>
      <c r="V320" s="410"/>
      <c r="W320" s="409"/>
    </row>
    <row r="321" spans="12:23">
      <c r="L321" s="394" t="str">
        <f t="shared" si="8"/>
        <v/>
      </c>
      <c r="M321" s="394" t="str">
        <f>IF(OR(L321="",COUNTIF($M$4:M320,IF(ISERROR($R321*1),LEFT($R321,2)*1,$R321*1))&gt;=1),"-",IF(ISERROR($R321*1),LEFT($R321,2)*1,$R321*1))</f>
        <v>-</v>
      </c>
      <c r="N321" s="394" t="str">
        <f>IF(OR(L321="",COUNTIF($N$4:N320,V321*1)&gt;=1),"-",V321*1)</f>
        <v>-</v>
      </c>
      <c r="O321" s="409"/>
      <c r="P321" s="409"/>
      <c r="Q321" s="409"/>
      <c r="R321" s="409"/>
      <c r="S321" s="410"/>
      <c r="T321" s="411"/>
      <c r="U321" s="412"/>
      <c r="V321" s="410"/>
      <c r="W321" s="409"/>
    </row>
    <row r="322" spans="12:23">
      <c r="L322" s="394" t="str">
        <f t="shared" si="8"/>
        <v/>
      </c>
      <c r="M322" s="394" t="str">
        <f>IF(OR(L322="",COUNTIF($M$4:M321,IF(ISERROR($R322*1),LEFT($R322,2)*1,$R322*1))&gt;=1),"-",IF(ISERROR($R322*1),LEFT($R322,2)*1,$R322*1))</f>
        <v>-</v>
      </c>
      <c r="N322" s="394" t="str">
        <f>IF(OR(L322="",COUNTIF($N$4:N321,V322*1)&gt;=1),"-",V322*1)</f>
        <v>-</v>
      </c>
      <c r="O322" s="409"/>
      <c r="P322" s="409"/>
      <c r="Q322" s="409"/>
      <c r="R322" s="409"/>
      <c r="S322" s="410"/>
      <c r="T322" s="411"/>
      <c r="U322" s="412"/>
      <c r="V322" s="410"/>
      <c r="W322" s="409"/>
    </row>
    <row r="323" spans="12:23">
      <c r="L323" s="394" t="str">
        <f t="shared" si="8"/>
        <v/>
      </c>
      <c r="M323" s="394" t="str">
        <f>IF(OR(L323="",COUNTIF($M$4:M322,IF(ISERROR($R323*1),LEFT($R323,2)*1,$R323*1))&gt;=1),"-",IF(ISERROR($R323*1),LEFT($R323,2)*1,$R323*1))</f>
        <v>-</v>
      </c>
      <c r="N323" s="394" t="str">
        <f>IF(OR(L323="",COUNTIF($N$4:N322,V323*1)&gt;=1),"-",V323*1)</f>
        <v>-</v>
      </c>
      <c r="O323" s="409"/>
      <c r="P323" s="409"/>
      <c r="Q323" s="409"/>
      <c r="R323" s="409"/>
      <c r="S323" s="410"/>
      <c r="T323" s="411"/>
      <c r="U323" s="412"/>
      <c r="V323" s="410"/>
      <c r="W323" s="409"/>
    </row>
    <row r="324" spans="12:23">
      <c r="L324" s="394" t="str">
        <f t="shared" ref="L324:L339" si="9">IF(P324&lt;&gt;$B$1,"",P324&amp;Q324&amp;R324&amp;V324)</f>
        <v/>
      </c>
      <c r="M324" s="394" t="str">
        <f>IF(OR(L324="",COUNTIF($M$4:M323,IF(ISERROR($R324*1),LEFT($R324,2)*1,$R324*1))&gt;=1),"-",IF(ISERROR($R324*1),LEFT($R324,2)*1,$R324*1))</f>
        <v>-</v>
      </c>
      <c r="N324" s="394" t="str">
        <f>IF(OR(L324="",COUNTIF($N$4:N323,V324*1)&gt;=1),"-",V324*1)</f>
        <v>-</v>
      </c>
      <c r="O324" s="409"/>
      <c r="P324" s="409"/>
      <c r="Q324" s="409"/>
      <c r="R324" s="409"/>
      <c r="S324" s="410"/>
      <c r="T324" s="411"/>
      <c r="U324" s="412"/>
      <c r="V324" s="410"/>
      <c r="W324" s="409"/>
    </row>
    <row r="325" spans="12:23">
      <c r="L325" s="394" t="str">
        <f t="shared" si="9"/>
        <v/>
      </c>
      <c r="M325" s="394" t="str">
        <f>IF(OR(L325="",COUNTIF($M$4:M324,IF(ISERROR($R325*1),LEFT($R325,2)*1,$R325*1))&gt;=1),"-",IF(ISERROR($R325*1),LEFT($R325,2)*1,$R325*1))</f>
        <v>-</v>
      </c>
      <c r="N325" s="394" t="str">
        <f>IF(OR(L325="",COUNTIF($N$4:N324,V325*1)&gt;=1),"-",V325*1)</f>
        <v>-</v>
      </c>
      <c r="O325" s="409"/>
      <c r="P325" s="409"/>
      <c r="Q325" s="409"/>
      <c r="R325" s="409"/>
      <c r="S325" s="410"/>
      <c r="T325" s="411"/>
      <c r="U325" s="412"/>
      <c r="V325" s="410"/>
      <c r="W325" s="409"/>
    </row>
    <row r="326" spans="12:23">
      <c r="L326" s="394" t="str">
        <f t="shared" si="9"/>
        <v/>
      </c>
      <c r="M326" s="394" t="str">
        <f>IF(OR(L326="",COUNTIF($M$4:M325,IF(ISERROR($R326*1),LEFT($R326,2)*1,$R326*1))&gt;=1),"-",IF(ISERROR($R326*1),LEFT($R326,2)*1,$R326*1))</f>
        <v>-</v>
      </c>
      <c r="N326" s="394" t="str">
        <f>IF(OR(L326="",COUNTIF($N$4:N325,V326*1)&gt;=1),"-",V326*1)</f>
        <v>-</v>
      </c>
      <c r="O326" s="409"/>
      <c r="P326" s="409"/>
      <c r="Q326" s="409"/>
      <c r="R326" s="409"/>
      <c r="S326" s="410"/>
      <c r="T326" s="411"/>
      <c r="U326" s="412"/>
      <c r="V326" s="410"/>
      <c r="W326" s="409"/>
    </row>
    <row r="327" spans="12:23">
      <c r="L327" s="394" t="str">
        <f t="shared" si="9"/>
        <v/>
      </c>
      <c r="M327" s="394" t="str">
        <f>IF(OR(L327="",COUNTIF($M$4:M326,IF(ISERROR($R327*1),LEFT($R327,2)*1,$R327*1))&gt;=1),"-",IF(ISERROR($R327*1),LEFT($R327,2)*1,$R327*1))</f>
        <v>-</v>
      </c>
      <c r="N327" s="394" t="str">
        <f>IF(OR(L327="",COUNTIF($N$4:N326,V327*1)&gt;=1),"-",V327*1)</f>
        <v>-</v>
      </c>
      <c r="O327" s="409"/>
      <c r="P327" s="409"/>
      <c r="Q327" s="409"/>
      <c r="R327" s="409"/>
      <c r="S327" s="410"/>
      <c r="T327" s="411"/>
      <c r="U327" s="412"/>
      <c r="V327" s="410"/>
      <c r="W327" s="409"/>
    </row>
    <row r="328" spans="12:23">
      <c r="L328" s="394" t="str">
        <f t="shared" si="9"/>
        <v/>
      </c>
      <c r="M328" s="394" t="str">
        <f>IF(OR(L328="",COUNTIF($M$4:M327,IF(ISERROR($R328*1),LEFT($R328,2)*1,$R328*1))&gt;=1),"-",IF(ISERROR($R328*1),LEFT($R328,2)*1,$R328*1))</f>
        <v>-</v>
      </c>
      <c r="N328" s="394" t="str">
        <f>IF(OR(L328="",COUNTIF($N$4:N327,V328*1)&gt;=1),"-",V328*1)</f>
        <v>-</v>
      </c>
      <c r="O328" s="409"/>
      <c r="P328" s="409"/>
      <c r="Q328" s="409"/>
      <c r="R328" s="409"/>
      <c r="S328" s="410"/>
      <c r="T328" s="411"/>
      <c r="U328" s="412"/>
      <c r="V328" s="410"/>
      <c r="W328" s="409"/>
    </row>
    <row r="329" spans="12:23">
      <c r="L329" s="394" t="str">
        <f t="shared" si="9"/>
        <v/>
      </c>
      <c r="M329" s="394" t="str">
        <f>IF(OR(L329="",COUNTIF($M$4:M328,IF(ISERROR($R329*1),LEFT($R329,2)*1,$R329*1))&gt;=1),"-",IF(ISERROR($R329*1),LEFT($R329,2)*1,$R329*1))</f>
        <v>-</v>
      </c>
      <c r="N329" s="394" t="str">
        <f>IF(OR(L329="",COUNTIF($N$4:N328,V329*1)&gt;=1),"-",V329*1)</f>
        <v>-</v>
      </c>
      <c r="O329" s="409"/>
      <c r="P329" s="409"/>
      <c r="Q329" s="409"/>
      <c r="R329" s="409"/>
      <c r="S329" s="410"/>
      <c r="T329" s="411"/>
      <c r="U329" s="412"/>
      <c r="V329" s="410"/>
      <c r="W329" s="409"/>
    </row>
    <row r="330" spans="12:23">
      <c r="L330" s="394" t="str">
        <f t="shared" si="9"/>
        <v/>
      </c>
      <c r="M330" s="394" t="str">
        <f>IF(OR(L330="",COUNTIF($M$4:M329,IF(ISERROR($R330*1),LEFT($R330,2)*1,$R330*1))&gt;=1),"-",IF(ISERROR($R330*1),LEFT($R330,2)*1,$R330*1))</f>
        <v>-</v>
      </c>
      <c r="N330" s="394" t="str">
        <f>IF(OR(L330="",COUNTIF($N$4:N329,V330*1)&gt;=1),"-",V330*1)</f>
        <v>-</v>
      </c>
      <c r="O330" s="409"/>
      <c r="P330" s="409"/>
      <c r="Q330" s="409"/>
      <c r="R330" s="409"/>
      <c r="S330" s="410"/>
      <c r="T330" s="411"/>
      <c r="U330" s="412"/>
      <c r="V330" s="410"/>
      <c r="W330" s="409"/>
    </row>
    <row r="331" spans="12:23">
      <c r="L331" s="394" t="str">
        <f t="shared" si="9"/>
        <v/>
      </c>
      <c r="M331" s="394" t="str">
        <f>IF(OR(L331="",COUNTIF($M$4:M330,IF(ISERROR($R331*1),LEFT($R331,2)*1,$R331*1))&gt;=1),"-",IF(ISERROR($R331*1),LEFT($R331,2)*1,$R331*1))</f>
        <v>-</v>
      </c>
      <c r="N331" s="394" t="str">
        <f>IF(OR(L331="",COUNTIF($N$4:N330,V331*1)&gt;=1),"-",V331*1)</f>
        <v>-</v>
      </c>
      <c r="O331" s="409"/>
      <c r="P331" s="409"/>
      <c r="Q331" s="409"/>
      <c r="R331" s="409"/>
      <c r="S331" s="410"/>
      <c r="T331" s="411"/>
      <c r="U331" s="412"/>
      <c r="V331" s="410"/>
      <c r="W331" s="409"/>
    </row>
    <row r="332" spans="12:23">
      <c r="L332" s="394" t="str">
        <f t="shared" si="9"/>
        <v/>
      </c>
      <c r="M332" s="394" t="str">
        <f>IF(OR(L332="",COUNTIF($M$4:M331,IF(ISERROR($R332*1),LEFT($R332,2)*1,$R332*1))&gt;=1),"-",IF(ISERROR($R332*1),LEFT($R332,2)*1,$R332*1))</f>
        <v>-</v>
      </c>
      <c r="N332" s="394" t="str">
        <f>IF(OR(L332="",COUNTIF($N$4:N331,V332*1)&gt;=1),"-",V332*1)</f>
        <v>-</v>
      </c>
      <c r="O332" s="409"/>
      <c r="P332" s="409"/>
      <c r="Q332" s="409"/>
      <c r="R332" s="409"/>
      <c r="S332" s="410"/>
      <c r="T332" s="411"/>
      <c r="U332" s="412"/>
      <c r="V332" s="410"/>
      <c r="W332" s="409"/>
    </row>
    <row r="333" spans="12:23">
      <c r="L333" s="394" t="str">
        <f t="shared" si="9"/>
        <v/>
      </c>
      <c r="M333" s="394" t="str">
        <f>IF(OR(L333="",COUNTIF($M$4:M332,IF(ISERROR($R333*1),LEFT($R333,2)*1,$R333*1))&gt;=1),"-",IF(ISERROR($R333*1),LEFT($R333,2)*1,$R333*1))</f>
        <v>-</v>
      </c>
      <c r="N333" s="394" t="str">
        <f>IF(OR(L333="",COUNTIF($N$4:N332,V333*1)&gt;=1),"-",V333*1)</f>
        <v>-</v>
      </c>
      <c r="O333" s="409"/>
      <c r="P333" s="409"/>
      <c r="Q333" s="409"/>
      <c r="R333" s="409"/>
      <c r="S333" s="410"/>
      <c r="T333" s="411"/>
      <c r="U333" s="412"/>
      <c r="V333" s="410"/>
      <c r="W333" s="409"/>
    </row>
    <row r="334" spans="12:23">
      <c r="L334" s="394" t="str">
        <f t="shared" si="9"/>
        <v/>
      </c>
      <c r="M334" s="394" t="str">
        <f>IF(OR(L334="",COUNTIF($M$4:M333,IF(ISERROR($R334*1),LEFT($R334,2)*1,$R334*1))&gt;=1),"-",IF(ISERROR($R334*1),LEFT($R334,2)*1,$R334*1))</f>
        <v>-</v>
      </c>
      <c r="N334" s="394" t="str">
        <f>IF(OR(L334="",COUNTIF($N$4:N333,V334*1)&gt;=1),"-",V334*1)</f>
        <v>-</v>
      </c>
      <c r="O334" s="409"/>
      <c r="P334" s="409"/>
      <c r="Q334" s="409"/>
      <c r="R334" s="409"/>
      <c r="S334" s="410"/>
      <c r="T334" s="411"/>
      <c r="U334" s="412"/>
      <c r="V334" s="410"/>
      <c r="W334" s="409"/>
    </row>
    <row r="335" spans="12:23">
      <c r="L335" s="394" t="str">
        <f t="shared" si="9"/>
        <v/>
      </c>
      <c r="M335" s="394" t="str">
        <f>IF(OR(L335="",COUNTIF($M$4:M334,IF(ISERROR($R335*1),LEFT($R335,2)*1,$R335*1))&gt;=1),"-",IF(ISERROR($R335*1),LEFT($R335,2)*1,$R335*1))</f>
        <v>-</v>
      </c>
      <c r="N335" s="394" t="str">
        <f>IF(OR(L335="",COUNTIF($N$4:N334,V335*1)&gt;=1),"-",V335*1)</f>
        <v>-</v>
      </c>
      <c r="O335" s="409"/>
      <c r="P335" s="409"/>
      <c r="Q335" s="409"/>
      <c r="R335" s="409"/>
      <c r="S335" s="410"/>
      <c r="T335" s="411"/>
      <c r="U335" s="412"/>
      <c r="V335" s="410"/>
      <c r="W335" s="409"/>
    </row>
    <row r="336" spans="12:23">
      <c r="L336" s="394" t="str">
        <f t="shared" si="9"/>
        <v/>
      </c>
      <c r="M336" s="394" t="str">
        <f>IF(OR(L336="",COUNTIF($M$4:M335,IF(ISERROR($R336*1),LEFT($R336,2)*1,$R336*1))&gt;=1),"-",IF(ISERROR($R336*1),LEFT($R336,2)*1,$R336*1))</f>
        <v>-</v>
      </c>
      <c r="N336" s="394" t="str">
        <f>IF(OR(L336="",COUNTIF($N$4:N335,V336*1)&gt;=1),"-",V336*1)</f>
        <v>-</v>
      </c>
      <c r="O336" s="409"/>
      <c r="P336" s="409"/>
      <c r="Q336" s="409"/>
      <c r="R336" s="409"/>
      <c r="S336" s="410"/>
      <c r="T336" s="411"/>
      <c r="U336" s="412"/>
      <c r="V336" s="410"/>
      <c r="W336" s="409"/>
    </row>
    <row r="337" spans="12:23">
      <c r="L337" s="394" t="str">
        <f t="shared" si="9"/>
        <v/>
      </c>
      <c r="M337" s="394" t="str">
        <f>IF(OR(L337="",COUNTIF($M$4:M336,IF(ISERROR($R337*1),LEFT($R337,2)*1,$R337*1))&gt;=1),"-",IF(ISERROR($R337*1),LEFT($R337,2)*1,$R337*1))</f>
        <v>-</v>
      </c>
      <c r="N337" s="394" t="str">
        <f>IF(OR(L337="",COUNTIF($N$4:N336,V337*1)&gt;=1),"-",V337*1)</f>
        <v>-</v>
      </c>
      <c r="O337" s="409"/>
      <c r="P337" s="409"/>
      <c r="Q337" s="409"/>
      <c r="R337" s="409"/>
      <c r="S337" s="410"/>
      <c r="T337" s="411"/>
      <c r="U337" s="412"/>
      <c r="V337" s="410"/>
      <c r="W337" s="409"/>
    </row>
    <row r="338" spans="12:23">
      <c r="L338" s="394" t="str">
        <f t="shared" si="9"/>
        <v/>
      </c>
      <c r="M338" s="394" t="str">
        <f>IF(OR(L338="",COUNTIF($M$4:M337,IF(ISERROR($R338*1),LEFT($R338,2)*1,$R338*1))&gt;=1),"-",IF(ISERROR($R338*1),LEFT($R338,2)*1,$R338*1))</f>
        <v>-</v>
      </c>
      <c r="N338" s="394" t="str">
        <f>IF(OR(L338="",COUNTIF($N$4:N337,V338*1)&gt;=1),"-",V338*1)</f>
        <v>-</v>
      </c>
      <c r="O338" s="409"/>
      <c r="P338" s="409"/>
      <c r="Q338" s="409"/>
      <c r="R338" s="409"/>
      <c r="S338" s="410"/>
      <c r="T338" s="411"/>
      <c r="U338" s="412"/>
      <c r="V338" s="410"/>
      <c r="W338" s="409"/>
    </row>
    <row r="339" spans="12:23">
      <c r="L339" s="394" t="str">
        <f t="shared" si="9"/>
        <v/>
      </c>
      <c r="M339" s="394" t="str">
        <f>IF(OR(L339="",COUNTIF($M$4:M338,IF(ISERROR($R339*1),LEFT($R339,2)*1,$R339*1))&gt;=1),"-",IF(ISERROR($R339*1),LEFT($R339,2)*1,$R339*1))</f>
        <v>-</v>
      </c>
      <c r="N339" s="394" t="str">
        <f>IF(OR(L339="",COUNTIF($N$4:N338,V339*1)&gt;=1),"-",V339*1)</f>
        <v>-</v>
      </c>
      <c r="O339" s="409"/>
      <c r="P339" s="409"/>
      <c r="Q339" s="409"/>
      <c r="R339" s="409"/>
      <c r="S339" s="410"/>
      <c r="T339" s="411"/>
      <c r="U339" s="412"/>
      <c r="V339" s="410"/>
      <c r="W339" s="409"/>
    </row>
  </sheetData>
  <sheetProtection algorithmName="SHA-512" hashValue="j35f/i6P0v3JwKDRjrmWk62VAxuJ/luMvFpJSGfn0yfJv67qYS5J6iaac8xPDqYfx8YClhxPdCHd4mAcL+hPYA==" saltValue="UcprOc3MVXsxgfa8u+ErDw==" spinCount="100000" sheet="1" objects="1" scenarios="1"/>
  <mergeCells count="1">
    <mergeCell ref="L2:N2"/>
  </mergeCells>
  <phoneticPr fontId="3"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IP539"/>
  <sheetViews>
    <sheetView workbookViewId="0"/>
  </sheetViews>
  <sheetFormatPr baseColWidth="10" defaultColWidth="0" defaultRowHeight="13"/>
  <cols>
    <col min="1" max="9" width="9.3984375" customWidth="1"/>
    <col min="10" max="10" width="20.796875" customWidth="1"/>
    <col min="11" max="11" width="12.796875" customWidth="1"/>
    <col min="12" max="14" width="9.3984375" customWidth="1"/>
    <col min="15" max="15" width="22.796875" customWidth="1"/>
    <col min="16" max="21" width="9.3984375" customWidth="1"/>
    <col min="22" max="22" width="18.3984375" customWidth="1"/>
    <col min="23" max="120" width="9.3984375" customWidth="1"/>
    <col min="121" max="121" width="10" customWidth="1"/>
    <col min="122" max="133" width="9.3984375" customWidth="1"/>
    <col min="134" max="134" width="9.3984375" style="133" customWidth="1"/>
    <col min="135" max="138" width="9.3984375" customWidth="1"/>
    <col min="139" max="139" width="17.3984375" customWidth="1"/>
    <col min="140" max="266" width="9.3984375" customWidth="1"/>
  </cols>
  <sheetData>
    <row r="1" spans="1:250">
      <c r="A1" t="s">
        <v>115</v>
      </c>
      <c r="B1" s="207" t="s">
        <v>778</v>
      </c>
      <c r="C1" s="207">
        <v>1150109</v>
      </c>
      <c r="D1" s="207"/>
      <c r="E1" s="207"/>
      <c r="J1" t="str">
        <f>B1&amp;TEXT(F1,"00")&amp;TEXT(H1,"00")</f>
        <v>CLX0000</v>
      </c>
      <c r="K1" s="130"/>
      <c r="O1" t="str">
        <f>M1&amp;TEXT(N1,"00")</f>
        <v>00</v>
      </c>
      <c r="R1" t="s">
        <v>201</v>
      </c>
      <c r="S1">
        <v>1150109</v>
      </c>
      <c r="V1" s="208" t="str">
        <f>S1&amp;TEXT(T1,"00")&amp;TEXT(U1,"00")</f>
        <v>11501090000</v>
      </c>
      <c r="EE1" t="s">
        <v>200</v>
      </c>
      <c r="EF1">
        <v>1150109</v>
      </c>
      <c r="EI1" s="208" t="str">
        <f>EF1&amp;TEXT(EG1,"00")&amp;TEXT(EH1,"00")</f>
        <v>11501090000</v>
      </c>
    </row>
    <row r="2" spans="1:250">
      <c r="A2" s="356" t="s">
        <v>114</v>
      </c>
      <c r="B2" s="356" t="s">
        <v>15</v>
      </c>
      <c r="C2" s="356" t="s">
        <v>478</v>
      </c>
      <c r="D2" s="356" t="s">
        <v>479</v>
      </c>
      <c r="E2" s="356" t="s">
        <v>757</v>
      </c>
      <c r="F2" s="356" t="s">
        <v>17</v>
      </c>
      <c r="G2" s="356" t="s">
        <v>758</v>
      </c>
      <c r="H2" s="356" t="s">
        <v>16</v>
      </c>
      <c r="I2" s="356" t="s">
        <v>480</v>
      </c>
      <c r="J2" t="str">
        <f t="shared" ref="J2:J65" si="0">B2&amp;TEXT(F2,"00")&amp;TEXT(H2,"00")</f>
        <v>商品代號性別年齡</v>
      </c>
      <c r="K2" s="356" t="s">
        <v>481</v>
      </c>
      <c r="M2" s="356" t="s">
        <v>15</v>
      </c>
      <c r="N2" s="356" t="s">
        <v>507</v>
      </c>
      <c r="O2" t="str">
        <f>M2&amp;TEXT(N2,"00")</f>
        <v>商品代號累計給付年度</v>
      </c>
      <c r="P2" s="356" t="s">
        <v>508</v>
      </c>
      <c r="R2" s="356" t="s">
        <v>114</v>
      </c>
      <c r="S2" s="356" t="s">
        <v>15</v>
      </c>
      <c r="T2" s="356" t="s">
        <v>17</v>
      </c>
      <c r="U2" s="356" t="s">
        <v>16</v>
      </c>
      <c r="V2" s="208" t="str">
        <f>S2&amp;TEXT(T2,"00")&amp;TEXT(U2,"00")</f>
        <v>商品代號性別年齡</v>
      </c>
      <c r="W2" s="356" t="s">
        <v>367</v>
      </c>
      <c r="X2" s="356" t="s">
        <v>368</v>
      </c>
      <c r="Y2" s="356" t="s">
        <v>369</v>
      </c>
      <c r="Z2" s="356" t="s">
        <v>370</v>
      </c>
      <c r="AA2" s="356" t="s">
        <v>371</v>
      </c>
      <c r="AB2" s="356" t="s">
        <v>372</v>
      </c>
      <c r="AC2" s="356" t="s">
        <v>373</v>
      </c>
      <c r="AD2" s="356" t="s">
        <v>374</v>
      </c>
      <c r="AE2" s="356" t="s">
        <v>375</v>
      </c>
      <c r="AF2" s="356" t="s">
        <v>376</v>
      </c>
      <c r="AG2" s="356" t="s">
        <v>377</v>
      </c>
      <c r="AH2" s="356" t="s">
        <v>378</v>
      </c>
      <c r="AI2" s="356" t="s">
        <v>379</v>
      </c>
      <c r="AJ2" s="356" t="s">
        <v>380</v>
      </c>
      <c r="AK2" s="356" t="s">
        <v>381</v>
      </c>
      <c r="AL2" s="356" t="s">
        <v>382</v>
      </c>
      <c r="AM2" s="356" t="s">
        <v>383</v>
      </c>
      <c r="AN2" s="356" t="s">
        <v>384</v>
      </c>
      <c r="AO2" s="356" t="s">
        <v>385</v>
      </c>
      <c r="AP2" s="356" t="s">
        <v>386</v>
      </c>
      <c r="AQ2" s="356" t="s">
        <v>387</v>
      </c>
      <c r="AR2" s="356" t="s">
        <v>388</v>
      </c>
      <c r="AS2" s="356" t="s">
        <v>389</v>
      </c>
      <c r="AT2" s="356" t="s">
        <v>390</v>
      </c>
      <c r="AU2" s="356" t="s">
        <v>391</v>
      </c>
      <c r="AV2" s="356" t="s">
        <v>392</v>
      </c>
      <c r="AW2" s="356" t="s">
        <v>393</v>
      </c>
      <c r="AX2" s="356" t="s">
        <v>394</v>
      </c>
      <c r="AY2" s="356" t="s">
        <v>395</v>
      </c>
      <c r="AZ2" s="356" t="s">
        <v>396</v>
      </c>
      <c r="BA2" s="356" t="s">
        <v>397</v>
      </c>
      <c r="BB2" s="356" t="s">
        <v>398</v>
      </c>
      <c r="BC2" s="356" t="s">
        <v>399</v>
      </c>
      <c r="BD2" s="356" t="s">
        <v>400</v>
      </c>
      <c r="BE2" s="356" t="s">
        <v>401</v>
      </c>
      <c r="BF2" s="356" t="s">
        <v>402</v>
      </c>
      <c r="BG2" s="356" t="s">
        <v>403</v>
      </c>
      <c r="BH2" s="356" t="s">
        <v>404</v>
      </c>
      <c r="BI2" s="356" t="s">
        <v>405</v>
      </c>
      <c r="BJ2" s="356" t="s">
        <v>406</v>
      </c>
      <c r="BK2" s="356" t="s">
        <v>407</v>
      </c>
      <c r="BL2" s="356" t="s">
        <v>408</v>
      </c>
      <c r="BM2" s="356" t="s">
        <v>409</v>
      </c>
      <c r="BN2" s="356" t="s">
        <v>410</v>
      </c>
      <c r="BO2" s="356" t="s">
        <v>411</v>
      </c>
      <c r="BP2" s="356" t="s">
        <v>412</v>
      </c>
      <c r="BQ2" s="356" t="s">
        <v>413</v>
      </c>
      <c r="BR2" s="356" t="s">
        <v>414</v>
      </c>
      <c r="BS2" s="356" t="s">
        <v>415</v>
      </c>
      <c r="BT2" s="356" t="s">
        <v>416</v>
      </c>
      <c r="BU2" s="356" t="s">
        <v>417</v>
      </c>
      <c r="BV2" s="356" t="s">
        <v>418</v>
      </c>
      <c r="BW2" s="356" t="s">
        <v>419</v>
      </c>
      <c r="BX2" s="356" t="s">
        <v>420</v>
      </c>
      <c r="BY2" s="356" t="s">
        <v>421</v>
      </c>
      <c r="BZ2" s="356" t="s">
        <v>422</v>
      </c>
      <c r="CA2" s="356" t="s">
        <v>423</v>
      </c>
      <c r="CB2" s="356" t="s">
        <v>424</v>
      </c>
      <c r="CC2" s="356" t="s">
        <v>425</v>
      </c>
      <c r="CD2" s="356" t="s">
        <v>426</v>
      </c>
      <c r="CE2" s="356" t="s">
        <v>427</v>
      </c>
      <c r="CF2" s="356" t="s">
        <v>428</v>
      </c>
      <c r="CG2" s="356" t="s">
        <v>429</v>
      </c>
      <c r="CH2" s="356" t="s">
        <v>430</v>
      </c>
      <c r="CI2" s="356" t="s">
        <v>431</v>
      </c>
      <c r="CJ2" s="356" t="s">
        <v>432</v>
      </c>
      <c r="CK2" s="356" t="s">
        <v>433</v>
      </c>
      <c r="CL2" s="356" t="s">
        <v>434</v>
      </c>
      <c r="CM2" s="356" t="s">
        <v>435</v>
      </c>
      <c r="CN2" s="356" t="s">
        <v>436</v>
      </c>
      <c r="CO2" s="356" t="s">
        <v>437</v>
      </c>
      <c r="CP2" s="356" t="s">
        <v>438</v>
      </c>
      <c r="CQ2" s="356" t="s">
        <v>439</v>
      </c>
      <c r="CR2" s="356" t="s">
        <v>440</v>
      </c>
      <c r="CS2" s="356" t="s">
        <v>441</v>
      </c>
      <c r="CT2" s="356" t="s">
        <v>442</v>
      </c>
      <c r="CU2" s="356" t="s">
        <v>443</v>
      </c>
      <c r="CV2" s="356" t="s">
        <v>444</v>
      </c>
      <c r="CW2" s="356" t="s">
        <v>445</v>
      </c>
      <c r="CX2" s="356" t="s">
        <v>446</v>
      </c>
      <c r="CY2" s="356" t="s">
        <v>447</v>
      </c>
      <c r="CZ2" s="356" t="s">
        <v>448</v>
      </c>
      <c r="DA2" s="356" t="s">
        <v>449</v>
      </c>
      <c r="DB2" s="356" t="s">
        <v>450</v>
      </c>
      <c r="DC2" s="356" t="s">
        <v>451</v>
      </c>
      <c r="DD2" s="356" t="s">
        <v>452</v>
      </c>
      <c r="DE2" s="356" t="s">
        <v>453</v>
      </c>
      <c r="DF2" s="356" t="s">
        <v>454</v>
      </c>
      <c r="DG2" s="356" t="s">
        <v>455</v>
      </c>
      <c r="DH2" s="356" t="s">
        <v>456</v>
      </c>
      <c r="DI2" s="356" t="s">
        <v>457</v>
      </c>
      <c r="DJ2" s="356" t="s">
        <v>458</v>
      </c>
      <c r="DK2" s="356" t="s">
        <v>459</v>
      </c>
      <c r="DL2" s="356" t="s">
        <v>460</v>
      </c>
      <c r="DM2" s="356" t="s">
        <v>461</v>
      </c>
      <c r="DN2" s="356" t="s">
        <v>462</v>
      </c>
      <c r="DO2" s="356" t="s">
        <v>463</v>
      </c>
      <c r="DP2" s="356" t="s">
        <v>464</v>
      </c>
      <c r="DQ2" s="356" t="s">
        <v>465</v>
      </c>
      <c r="DR2" s="356" t="s">
        <v>466</v>
      </c>
      <c r="DS2" s="356" t="s">
        <v>467</v>
      </c>
      <c r="DT2" s="356" t="s">
        <v>468</v>
      </c>
      <c r="DU2" s="356" t="s">
        <v>469</v>
      </c>
      <c r="DV2" s="356" t="s">
        <v>470</v>
      </c>
      <c r="DW2" s="356" t="s">
        <v>471</v>
      </c>
      <c r="DX2" s="356" t="s">
        <v>472</v>
      </c>
      <c r="DY2" s="356" t="s">
        <v>473</v>
      </c>
      <c r="DZ2" s="356" t="s">
        <v>474</v>
      </c>
      <c r="EA2" s="356" t="s">
        <v>475</v>
      </c>
      <c r="EB2" s="356" t="s">
        <v>476</v>
      </c>
      <c r="EC2" s="356" t="s">
        <v>477</v>
      </c>
      <c r="ED2" s="134"/>
      <c r="EE2" s="356" t="s">
        <v>114</v>
      </c>
      <c r="EF2" s="356" t="s">
        <v>15</v>
      </c>
      <c r="EG2" s="356" t="s">
        <v>17</v>
      </c>
      <c r="EH2" s="356" t="s">
        <v>16</v>
      </c>
      <c r="EI2" s="208" t="str">
        <f>EF2&amp;TEXT(EG2,"00")&amp;TEXT(EH2,"00")</f>
        <v>商品代號性別年齡</v>
      </c>
      <c r="EJ2" s="356" t="s">
        <v>116</v>
      </c>
      <c r="EK2" s="356" t="s">
        <v>117</v>
      </c>
      <c r="EL2" s="356" t="s">
        <v>118</v>
      </c>
      <c r="EM2" s="356" t="s">
        <v>119</v>
      </c>
      <c r="EN2" s="356" t="s">
        <v>120</v>
      </c>
      <c r="EO2" s="356" t="s">
        <v>121</v>
      </c>
      <c r="EP2" s="356" t="s">
        <v>122</v>
      </c>
      <c r="EQ2" s="356" t="s">
        <v>123</v>
      </c>
      <c r="ER2" s="356" t="s">
        <v>124</v>
      </c>
      <c r="ES2" s="356" t="s">
        <v>125</v>
      </c>
      <c r="ET2" s="356" t="s">
        <v>126</v>
      </c>
      <c r="EU2" s="356" t="s">
        <v>127</v>
      </c>
      <c r="EV2" s="356" t="s">
        <v>128</v>
      </c>
      <c r="EW2" s="356" t="s">
        <v>129</v>
      </c>
      <c r="EX2" s="356" t="s">
        <v>130</v>
      </c>
      <c r="EY2" s="356" t="s">
        <v>131</v>
      </c>
      <c r="EZ2" s="356" t="s">
        <v>132</v>
      </c>
      <c r="FA2" s="356" t="s">
        <v>133</v>
      </c>
      <c r="FB2" s="356" t="s">
        <v>134</v>
      </c>
      <c r="FC2" s="356" t="s">
        <v>135</v>
      </c>
      <c r="FD2" s="356" t="s">
        <v>136</v>
      </c>
      <c r="FE2" s="356" t="s">
        <v>137</v>
      </c>
      <c r="FF2" s="356" t="s">
        <v>138</v>
      </c>
      <c r="FG2" s="356" t="s">
        <v>139</v>
      </c>
      <c r="FH2" s="356" t="s">
        <v>140</v>
      </c>
      <c r="FI2" s="356" t="s">
        <v>141</v>
      </c>
      <c r="FJ2" s="356" t="s">
        <v>142</v>
      </c>
      <c r="FK2" s="356" t="s">
        <v>143</v>
      </c>
      <c r="FL2" s="356" t="s">
        <v>144</v>
      </c>
      <c r="FM2" s="356" t="s">
        <v>145</v>
      </c>
      <c r="FN2" s="356" t="s">
        <v>146</v>
      </c>
      <c r="FO2" s="356" t="s">
        <v>147</v>
      </c>
      <c r="FP2" s="356" t="s">
        <v>148</v>
      </c>
      <c r="FQ2" s="356" t="s">
        <v>149</v>
      </c>
      <c r="FR2" s="356" t="s">
        <v>150</v>
      </c>
      <c r="FS2" s="356" t="s">
        <v>151</v>
      </c>
      <c r="FT2" s="356" t="s">
        <v>152</v>
      </c>
      <c r="FU2" s="356" t="s">
        <v>153</v>
      </c>
      <c r="FV2" s="356" t="s">
        <v>154</v>
      </c>
      <c r="FW2" s="356" t="s">
        <v>155</v>
      </c>
      <c r="FX2" s="356" t="s">
        <v>156</v>
      </c>
      <c r="FY2" s="356" t="s">
        <v>157</v>
      </c>
      <c r="FZ2" s="356" t="s">
        <v>158</v>
      </c>
      <c r="GA2" s="356" t="s">
        <v>159</v>
      </c>
      <c r="GB2" s="356" t="s">
        <v>160</v>
      </c>
      <c r="GC2" s="356" t="s">
        <v>161</v>
      </c>
      <c r="GD2" s="356" t="s">
        <v>162</v>
      </c>
      <c r="GE2" s="356" t="s">
        <v>163</v>
      </c>
      <c r="GF2" s="356" t="s">
        <v>164</v>
      </c>
      <c r="GG2" s="356" t="s">
        <v>165</v>
      </c>
      <c r="GH2" s="356" t="s">
        <v>166</v>
      </c>
      <c r="GI2" s="356" t="s">
        <v>167</v>
      </c>
      <c r="GJ2" s="356" t="s">
        <v>168</v>
      </c>
      <c r="GK2" s="356" t="s">
        <v>169</v>
      </c>
      <c r="GL2" s="356" t="s">
        <v>170</v>
      </c>
      <c r="GM2" s="356" t="s">
        <v>171</v>
      </c>
      <c r="GN2" s="356" t="s">
        <v>172</v>
      </c>
      <c r="GO2" s="356" t="s">
        <v>173</v>
      </c>
      <c r="GP2" s="356" t="s">
        <v>174</v>
      </c>
      <c r="GQ2" s="356" t="s">
        <v>175</v>
      </c>
      <c r="GR2" s="356" t="s">
        <v>176</v>
      </c>
      <c r="GS2" s="356" t="s">
        <v>177</v>
      </c>
      <c r="GT2" s="356" t="s">
        <v>178</v>
      </c>
      <c r="GU2" s="356" t="s">
        <v>179</v>
      </c>
      <c r="GV2" s="356" t="s">
        <v>180</v>
      </c>
      <c r="GW2" s="356" t="s">
        <v>181</v>
      </c>
      <c r="GX2" s="356" t="s">
        <v>182</v>
      </c>
      <c r="GY2" s="356" t="s">
        <v>183</v>
      </c>
      <c r="GZ2" s="356" t="s">
        <v>184</v>
      </c>
      <c r="HA2" s="356" t="s">
        <v>185</v>
      </c>
      <c r="HB2" s="356" t="s">
        <v>186</v>
      </c>
      <c r="HC2" s="356" t="s">
        <v>187</v>
      </c>
      <c r="HD2" s="356" t="s">
        <v>188</v>
      </c>
      <c r="HE2" s="356" t="s">
        <v>189</v>
      </c>
      <c r="HF2" s="356" t="s">
        <v>190</v>
      </c>
      <c r="HG2" s="356" t="s">
        <v>191</v>
      </c>
      <c r="HH2" s="356" t="s">
        <v>192</v>
      </c>
      <c r="HI2" s="356" t="s">
        <v>193</v>
      </c>
      <c r="HJ2" s="356" t="s">
        <v>194</v>
      </c>
      <c r="HK2" s="356" t="s">
        <v>195</v>
      </c>
      <c r="HL2" s="356" t="s">
        <v>196</v>
      </c>
      <c r="HM2" s="356" t="s">
        <v>197</v>
      </c>
      <c r="HN2" s="356" t="s">
        <v>198</v>
      </c>
      <c r="HO2" s="356" t="s">
        <v>199</v>
      </c>
      <c r="HP2" s="356" t="s">
        <v>203</v>
      </c>
      <c r="HQ2" s="356" t="s">
        <v>204</v>
      </c>
      <c r="HR2" s="356" t="s">
        <v>205</v>
      </c>
      <c r="HS2" s="356" t="s">
        <v>206</v>
      </c>
      <c r="HT2" s="356" t="s">
        <v>207</v>
      </c>
      <c r="HU2" s="356" t="s">
        <v>208</v>
      </c>
      <c r="HV2" s="356" t="s">
        <v>209</v>
      </c>
      <c r="HW2" s="356" t="s">
        <v>210</v>
      </c>
      <c r="HX2" s="356" t="s">
        <v>211</v>
      </c>
      <c r="HY2" s="356" t="s">
        <v>212</v>
      </c>
      <c r="HZ2" s="356" t="s">
        <v>213</v>
      </c>
      <c r="IA2" s="356" t="s">
        <v>214</v>
      </c>
      <c r="IB2" s="356" t="s">
        <v>215</v>
      </c>
      <c r="IC2" s="356" t="s">
        <v>216</v>
      </c>
      <c r="ID2" s="356" t="s">
        <v>217</v>
      </c>
      <c r="IE2" s="356" t="s">
        <v>218</v>
      </c>
      <c r="IF2" s="356" t="s">
        <v>219</v>
      </c>
      <c r="IG2" s="356" t="s">
        <v>220</v>
      </c>
      <c r="IH2" s="356" t="s">
        <v>221</v>
      </c>
      <c r="II2" s="356" t="s">
        <v>222</v>
      </c>
      <c r="IJ2" s="356" t="s">
        <v>223</v>
      </c>
      <c r="IK2" s="356" t="s">
        <v>224</v>
      </c>
      <c r="IL2" s="356" t="s">
        <v>225</v>
      </c>
      <c r="IM2" s="356" t="s">
        <v>226</v>
      </c>
      <c r="IN2" s="356" t="s">
        <v>227</v>
      </c>
      <c r="IO2" s="356" t="s">
        <v>228</v>
      </c>
      <c r="IP2" s="356" t="s">
        <v>229</v>
      </c>
    </row>
    <row r="3" spans="1:250" ht="15">
      <c r="A3" s="357" t="s">
        <v>645</v>
      </c>
      <c r="B3" s="427" t="s">
        <v>776</v>
      </c>
      <c r="C3" s="427"/>
      <c r="D3" s="427"/>
      <c r="E3" s="427"/>
      <c r="F3" s="427">
        <v>2</v>
      </c>
      <c r="G3" s="427"/>
      <c r="H3" s="427">
        <v>18</v>
      </c>
      <c r="I3" s="427"/>
      <c r="J3" t="str">
        <f t="shared" si="0"/>
        <v>CLX100218</v>
      </c>
      <c r="K3" s="427">
        <v>435</v>
      </c>
      <c r="R3" s="357" t="s">
        <v>645</v>
      </c>
      <c r="S3" s="428" t="s">
        <v>776</v>
      </c>
      <c r="T3" s="428">
        <v>2</v>
      </c>
      <c r="U3" s="428">
        <v>18</v>
      </c>
      <c r="V3" s="208" t="str">
        <f t="shared" ref="V3:V66" si="1">S3&amp;TEXT(T3,"00")&amp;TEXT(U3,"00")</f>
        <v>CLX100218</v>
      </c>
      <c r="W3" s="428">
        <v>0</v>
      </c>
      <c r="X3" s="428">
        <v>0</v>
      </c>
      <c r="Y3" s="428">
        <v>0</v>
      </c>
      <c r="Z3" s="428">
        <v>0</v>
      </c>
      <c r="AA3" s="428">
        <v>0</v>
      </c>
      <c r="AB3" s="428">
        <v>0</v>
      </c>
      <c r="AC3" s="428">
        <v>0</v>
      </c>
      <c r="AD3" s="428">
        <v>0</v>
      </c>
      <c r="AE3" s="428">
        <v>0</v>
      </c>
      <c r="AF3" s="428">
        <v>0</v>
      </c>
      <c r="AG3" s="428">
        <v>0</v>
      </c>
      <c r="AH3" s="428">
        <v>0</v>
      </c>
      <c r="AI3" s="428">
        <v>0</v>
      </c>
      <c r="AJ3" s="428">
        <v>0</v>
      </c>
      <c r="AK3" s="428">
        <v>0</v>
      </c>
      <c r="AL3" s="428">
        <v>0</v>
      </c>
      <c r="AM3" s="428">
        <v>0</v>
      </c>
      <c r="AN3" s="428">
        <v>0</v>
      </c>
      <c r="AO3" s="428">
        <v>0</v>
      </c>
      <c r="AP3" s="428">
        <v>0</v>
      </c>
      <c r="AQ3" s="428">
        <v>0</v>
      </c>
      <c r="AR3" s="428">
        <v>0</v>
      </c>
      <c r="AS3" s="428">
        <v>0</v>
      </c>
      <c r="AT3" s="428">
        <v>0</v>
      </c>
      <c r="AU3" s="428">
        <v>0</v>
      </c>
      <c r="AV3" s="428">
        <v>0</v>
      </c>
      <c r="AW3" s="428">
        <v>0</v>
      </c>
      <c r="AX3" s="428">
        <v>0</v>
      </c>
      <c r="AY3" s="428">
        <v>0</v>
      </c>
      <c r="AZ3" s="428">
        <v>0</v>
      </c>
      <c r="BA3" s="428">
        <v>0</v>
      </c>
      <c r="BB3" s="428">
        <v>0</v>
      </c>
      <c r="BC3" s="428">
        <v>0</v>
      </c>
      <c r="BD3" s="428">
        <v>0</v>
      </c>
      <c r="BE3" s="428">
        <v>0</v>
      </c>
      <c r="BF3" s="428">
        <v>0</v>
      </c>
      <c r="BG3" s="428">
        <v>0</v>
      </c>
      <c r="BH3" s="428">
        <v>0</v>
      </c>
      <c r="BI3" s="428">
        <v>0</v>
      </c>
      <c r="BJ3" s="428">
        <v>0</v>
      </c>
      <c r="BK3" s="428">
        <v>0</v>
      </c>
      <c r="BL3" s="428">
        <v>0</v>
      </c>
      <c r="BM3" s="428">
        <v>0</v>
      </c>
      <c r="BN3" s="428">
        <v>0</v>
      </c>
      <c r="BO3" s="428">
        <v>0</v>
      </c>
      <c r="BP3" s="428">
        <v>0</v>
      </c>
      <c r="BQ3" s="428">
        <v>0</v>
      </c>
      <c r="BR3" s="428">
        <v>0</v>
      </c>
      <c r="BS3" s="428">
        <v>0</v>
      </c>
      <c r="BT3" s="428">
        <v>0</v>
      </c>
      <c r="BU3" s="428">
        <v>0</v>
      </c>
      <c r="BV3" s="428">
        <v>0</v>
      </c>
      <c r="BW3" s="428">
        <v>0</v>
      </c>
      <c r="BX3" s="428">
        <v>0</v>
      </c>
      <c r="BY3" s="428">
        <v>0</v>
      </c>
      <c r="BZ3" s="428">
        <v>0</v>
      </c>
      <c r="CA3" s="428">
        <v>0</v>
      </c>
      <c r="CB3" s="428">
        <v>0</v>
      </c>
      <c r="CC3" s="428">
        <v>0</v>
      </c>
      <c r="CD3" s="428">
        <v>0</v>
      </c>
      <c r="CE3" s="428">
        <v>0</v>
      </c>
      <c r="CF3" s="428">
        <v>0</v>
      </c>
      <c r="CG3" s="428">
        <v>0</v>
      </c>
      <c r="CH3" s="428">
        <v>0</v>
      </c>
      <c r="CI3" s="428">
        <v>0</v>
      </c>
      <c r="CJ3" s="428">
        <v>0</v>
      </c>
      <c r="CK3" s="428">
        <v>0</v>
      </c>
      <c r="CL3" s="428">
        <v>0</v>
      </c>
      <c r="CM3" s="428">
        <v>0</v>
      </c>
      <c r="CN3" s="428">
        <v>0</v>
      </c>
      <c r="CO3" s="428">
        <v>0</v>
      </c>
      <c r="CP3" s="428">
        <v>4611</v>
      </c>
      <c r="CQ3" s="428">
        <v>0</v>
      </c>
      <c r="CR3" s="428">
        <v>0</v>
      </c>
      <c r="CS3" s="428">
        <v>0</v>
      </c>
      <c r="CT3" s="428">
        <v>0</v>
      </c>
      <c r="CU3" s="428">
        <v>0</v>
      </c>
      <c r="CV3" s="428">
        <v>0</v>
      </c>
      <c r="CW3" s="428">
        <v>0</v>
      </c>
      <c r="CX3" s="428">
        <v>0</v>
      </c>
      <c r="CY3" s="428">
        <v>0</v>
      </c>
      <c r="CZ3" s="428">
        <v>0</v>
      </c>
      <c r="DA3" s="428">
        <v>0</v>
      </c>
      <c r="DB3" s="428">
        <v>0</v>
      </c>
      <c r="DC3" s="428">
        <v>0</v>
      </c>
      <c r="DD3" s="428">
        <v>0</v>
      </c>
      <c r="DE3" s="428">
        <v>0</v>
      </c>
      <c r="DF3" s="428">
        <v>0</v>
      </c>
      <c r="DG3" s="428">
        <v>0</v>
      </c>
      <c r="DH3" s="428">
        <v>0</v>
      </c>
      <c r="DI3" s="428">
        <v>0</v>
      </c>
      <c r="DJ3" s="428">
        <v>0</v>
      </c>
      <c r="DK3" s="428">
        <v>0</v>
      </c>
      <c r="DL3" s="428">
        <v>0</v>
      </c>
      <c r="DM3" s="428">
        <v>0</v>
      </c>
      <c r="DN3" s="428">
        <v>0</v>
      </c>
      <c r="DO3" s="428">
        <v>0</v>
      </c>
      <c r="DP3" s="428">
        <v>0</v>
      </c>
      <c r="DQ3" s="428">
        <v>0</v>
      </c>
      <c r="DR3" s="428">
        <v>0</v>
      </c>
      <c r="DS3" s="428">
        <v>0</v>
      </c>
      <c r="DT3" s="428">
        <v>0</v>
      </c>
      <c r="DU3" s="428">
        <v>0</v>
      </c>
      <c r="DV3" s="428">
        <v>0</v>
      </c>
      <c r="ED3" s="135"/>
      <c r="EE3" s="357" t="s">
        <v>645</v>
      </c>
      <c r="EF3" s="426" t="s">
        <v>776</v>
      </c>
      <c r="EG3" s="426">
        <v>2</v>
      </c>
      <c r="EH3" s="426">
        <v>18</v>
      </c>
      <c r="EI3" s="208" t="str">
        <f t="shared" ref="EI3:EI66" si="2">EF3&amp;TEXT(EG3,"00")&amp;TEXT(EH3,"00")</f>
        <v>CLX100218</v>
      </c>
      <c r="EJ3" s="426">
        <v>461.1</v>
      </c>
      <c r="EK3" s="426">
        <v>922.2</v>
      </c>
      <c r="EL3" s="426">
        <v>1383.3</v>
      </c>
      <c r="EM3" s="426">
        <v>1844.4</v>
      </c>
      <c r="EN3" s="426">
        <v>2305.5</v>
      </c>
      <c r="EO3" s="426">
        <v>2766.6</v>
      </c>
      <c r="EP3" s="426">
        <v>3227.7</v>
      </c>
      <c r="EQ3" s="426">
        <v>3688.8</v>
      </c>
      <c r="ER3" s="426">
        <v>4149.8999999999996</v>
      </c>
      <c r="ES3" s="426">
        <v>4611</v>
      </c>
      <c r="ET3" s="426">
        <v>4611</v>
      </c>
      <c r="EU3" s="426">
        <v>4611</v>
      </c>
      <c r="EV3" s="426">
        <v>4611</v>
      </c>
      <c r="EW3" s="426">
        <v>4611</v>
      </c>
      <c r="EX3" s="426">
        <v>4611</v>
      </c>
      <c r="EY3" s="426">
        <v>4611</v>
      </c>
      <c r="EZ3" s="426">
        <v>4611</v>
      </c>
      <c r="FA3" s="426">
        <v>4611</v>
      </c>
      <c r="FB3" s="426">
        <v>4611</v>
      </c>
      <c r="FC3" s="426">
        <v>4611</v>
      </c>
      <c r="FD3" s="426">
        <v>4611</v>
      </c>
      <c r="FE3" s="426">
        <v>4611</v>
      </c>
      <c r="FF3" s="426">
        <v>4611</v>
      </c>
      <c r="FG3" s="426">
        <v>4611</v>
      </c>
      <c r="FH3" s="426">
        <v>4611</v>
      </c>
      <c r="FI3" s="426">
        <v>4611</v>
      </c>
      <c r="FJ3" s="426">
        <v>4611</v>
      </c>
      <c r="FK3" s="426">
        <v>4611</v>
      </c>
      <c r="FL3" s="426">
        <v>4611</v>
      </c>
      <c r="FM3" s="426">
        <v>4611</v>
      </c>
      <c r="FN3" s="426">
        <v>4611</v>
      </c>
      <c r="FO3" s="426">
        <v>4611</v>
      </c>
      <c r="FP3" s="426">
        <v>4611</v>
      </c>
      <c r="FQ3" s="426">
        <v>4611</v>
      </c>
      <c r="FR3" s="426">
        <v>4611</v>
      </c>
      <c r="FS3" s="426">
        <v>4611</v>
      </c>
      <c r="FT3" s="426">
        <v>4611</v>
      </c>
      <c r="FU3" s="426">
        <v>4611</v>
      </c>
      <c r="FV3" s="426">
        <v>4611</v>
      </c>
      <c r="FW3" s="426">
        <v>4611</v>
      </c>
      <c r="FX3" s="426">
        <v>4611</v>
      </c>
      <c r="FY3" s="426">
        <v>4611</v>
      </c>
      <c r="FZ3" s="426">
        <v>4611</v>
      </c>
      <c r="GA3" s="426">
        <v>4611</v>
      </c>
      <c r="GB3" s="426">
        <v>4611</v>
      </c>
      <c r="GC3" s="426">
        <v>4611</v>
      </c>
      <c r="GD3" s="426">
        <v>4611</v>
      </c>
      <c r="GE3" s="426">
        <v>4611</v>
      </c>
      <c r="GF3" s="426">
        <v>4611</v>
      </c>
      <c r="GG3" s="426">
        <v>4611</v>
      </c>
      <c r="GH3" s="426">
        <v>4611</v>
      </c>
      <c r="GI3" s="426">
        <v>4611</v>
      </c>
      <c r="GJ3" s="426">
        <v>4611</v>
      </c>
      <c r="GK3" s="426">
        <v>4611</v>
      </c>
      <c r="GL3" s="426">
        <v>4611</v>
      </c>
      <c r="GM3" s="426">
        <v>4611</v>
      </c>
      <c r="GN3" s="426">
        <v>4611</v>
      </c>
      <c r="GO3" s="426">
        <v>4611</v>
      </c>
      <c r="GP3" s="426">
        <v>4611</v>
      </c>
      <c r="GQ3" s="426">
        <v>4611</v>
      </c>
      <c r="GR3" s="426">
        <v>4611</v>
      </c>
      <c r="GS3" s="426">
        <v>4611</v>
      </c>
      <c r="GT3" s="426">
        <v>4611</v>
      </c>
      <c r="GU3" s="426">
        <v>4611</v>
      </c>
      <c r="GV3" s="426">
        <v>4611</v>
      </c>
      <c r="GW3" s="426">
        <v>4611</v>
      </c>
      <c r="GX3" s="426">
        <v>4611</v>
      </c>
      <c r="GY3" s="426">
        <v>4611</v>
      </c>
      <c r="GZ3" s="426">
        <v>4611</v>
      </c>
      <c r="HA3" s="426">
        <v>4611</v>
      </c>
      <c r="HB3" s="426">
        <v>4611</v>
      </c>
      <c r="HC3" s="426">
        <v>4611</v>
      </c>
      <c r="HD3" s="426">
        <v>0</v>
      </c>
      <c r="HE3" s="426">
        <v>0</v>
      </c>
      <c r="HF3" s="426">
        <v>0</v>
      </c>
      <c r="HG3" s="426">
        <v>0</v>
      </c>
      <c r="HH3" s="426">
        <v>0</v>
      </c>
      <c r="HI3" s="426">
        <v>0</v>
      </c>
      <c r="HJ3" s="426">
        <v>0</v>
      </c>
      <c r="HK3" s="426">
        <v>0</v>
      </c>
      <c r="HL3" s="426">
        <v>0</v>
      </c>
      <c r="HM3" s="426">
        <v>0</v>
      </c>
      <c r="HN3" s="426">
        <v>0</v>
      </c>
      <c r="HO3" s="426">
        <v>0</v>
      </c>
      <c r="HP3" s="426">
        <v>0</v>
      </c>
      <c r="HQ3" s="426">
        <v>0</v>
      </c>
      <c r="HR3" s="426">
        <v>0</v>
      </c>
      <c r="HS3" s="426">
        <v>0</v>
      </c>
      <c r="HT3" s="426">
        <v>0</v>
      </c>
      <c r="HU3" s="426">
        <v>0</v>
      </c>
      <c r="HV3" s="426">
        <v>0</v>
      </c>
      <c r="HW3" s="426">
        <v>0</v>
      </c>
      <c r="HX3" s="426">
        <v>0</v>
      </c>
      <c r="HY3" s="426">
        <v>0</v>
      </c>
      <c r="HZ3" s="426">
        <v>0</v>
      </c>
      <c r="IA3" s="426">
        <v>0</v>
      </c>
      <c r="IB3" s="426">
        <v>0</v>
      </c>
      <c r="IC3" s="426">
        <v>0</v>
      </c>
      <c r="ID3" s="426">
        <v>0</v>
      </c>
      <c r="IE3" s="426">
        <v>0</v>
      </c>
      <c r="IF3" s="426">
        <v>0</v>
      </c>
      <c r="IG3" s="426">
        <v>0</v>
      </c>
      <c r="IH3" s="426">
        <v>0</v>
      </c>
      <c r="II3" s="426">
        <v>0</v>
      </c>
      <c r="IJ3" s="426">
        <v>0</v>
      </c>
      <c r="IK3" s="426">
        <v>0</v>
      </c>
      <c r="IL3" s="426">
        <v>0</v>
      </c>
      <c r="IM3" s="426">
        <v>0</v>
      </c>
      <c r="IN3" s="426">
        <v>0</v>
      </c>
      <c r="IO3" s="426">
        <v>0</v>
      </c>
      <c r="IP3" s="426">
        <v>0</v>
      </c>
    </row>
    <row r="4" spans="1:250" ht="15">
      <c r="A4" s="357" t="s">
        <v>645</v>
      </c>
      <c r="B4" s="427" t="s">
        <v>776</v>
      </c>
      <c r="C4" s="427"/>
      <c r="D4" s="427"/>
      <c r="E4" s="427"/>
      <c r="F4" s="427">
        <v>2</v>
      </c>
      <c r="G4" s="427"/>
      <c r="H4" s="427">
        <v>19</v>
      </c>
      <c r="I4" s="427"/>
      <c r="J4" t="str">
        <f t="shared" si="0"/>
        <v>CLX100219</v>
      </c>
      <c r="K4" s="427">
        <v>440</v>
      </c>
      <c r="R4" s="357" t="s">
        <v>645</v>
      </c>
      <c r="S4" s="428" t="s">
        <v>776</v>
      </c>
      <c r="T4" s="428">
        <v>2</v>
      </c>
      <c r="U4" s="428">
        <v>19</v>
      </c>
      <c r="V4" s="208" t="str">
        <f t="shared" si="1"/>
        <v>CLX100219</v>
      </c>
      <c r="W4" s="428">
        <v>0</v>
      </c>
      <c r="X4" s="428">
        <v>0</v>
      </c>
      <c r="Y4" s="428">
        <v>0</v>
      </c>
      <c r="Z4" s="428">
        <v>0</v>
      </c>
      <c r="AA4" s="428">
        <v>0</v>
      </c>
      <c r="AB4" s="428">
        <v>0</v>
      </c>
      <c r="AC4" s="428">
        <v>0</v>
      </c>
      <c r="AD4" s="428">
        <v>0</v>
      </c>
      <c r="AE4" s="428">
        <v>0</v>
      </c>
      <c r="AF4" s="428">
        <v>0</v>
      </c>
      <c r="AG4" s="428">
        <v>0</v>
      </c>
      <c r="AH4" s="428">
        <v>0</v>
      </c>
      <c r="AI4" s="428">
        <v>0</v>
      </c>
      <c r="AJ4" s="428">
        <v>0</v>
      </c>
      <c r="AK4" s="428">
        <v>0</v>
      </c>
      <c r="AL4" s="428">
        <v>0</v>
      </c>
      <c r="AM4" s="428">
        <v>0</v>
      </c>
      <c r="AN4" s="428">
        <v>0</v>
      </c>
      <c r="AO4" s="428">
        <v>0</v>
      </c>
      <c r="AP4" s="428">
        <v>0</v>
      </c>
      <c r="AQ4" s="428">
        <v>0</v>
      </c>
      <c r="AR4" s="428">
        <v>0</v>
      </c>
      <c r="AS4" s="428">
        <v>0</v>
      </c>
      <c r="AT4" s="428">
        <v>0</v>
      </c>
      <c r="AU4" s="428">
        <v>0</v>
      </c>
      <c r="AV4" s="428">
        <v>0</v>
      </c>
      <c r="AW4" s="428">
        <v>0</v>
      </c>
      <c r="AX4" s="428">
        <v>0</v>
      </c>
      <c r="AY4" s="428">
        <v>0</v>
      </c>
      <c r="AZ4" s="428">
        <v>0</v>
      </c>
      <c r="BA4" s="428">
        <v>0</v>
      </c>
      <c r="BB4" s="428">
        <v>0</v>
      </c>
      <c r="BC4" s="428">
        <v>0</v>
      </c>
      <c r="BD4" s="428">
        <v>0</v>
      </c>
      <c r="BE4" s="428">
        <v>0</v>
      </c>
      <c r="BF4" s="428">
        <v>0</v>
      </c>
      <c r="BG4" s="428">
        <v>0</v>
      </c>
      <c r="BH4" s="428">
        <v>0</v>
      </c>
      <c r="BI4" s="428">
        <v>0</v>
      </c>
      <c r="BJ4" s="428">
        <v>0</v>
      </c>
      <c r="BK4" s="428">
        <v>0</v>
      </c>
      <c r="BL4" s="428">
        <v>0</v>
      </c>
      <c r="BM4" s="428">
        <v>0</v>
      </c>
      <c r="BN4" s="428">
        <v>0</v>
      </c>
      <c r="BO4" s="428">
        <v>0</v>
      </c>
      <c r="BP4" s="428">
        <v>0</v>
      </c>
      <c r="BQ4" s="428">
        <v>0</v>
      </c>
      <c r="BR4" s="428">
        <v>0</v>
      </c>
      <c r="BS4" s="428">
        <v>0</v>
      </c>
      <c r="BT4" s="428">
        <v>0</v>
      </c>
      <c r="BU4" s="428">
        <v>0</v>
      </c>
      <c r="BV4" s="428">
        <v>0</v>
      </c>
      <c r="BW4" s="428">
        <v>0</v>
      </c>
      <c r="BX4" s="428">
        <v>0</v>
      </c>
      <c r="BY4" s="428">
        <v>0</v>
      </c>
      <c r="BZ4" s="428">
        <v>0</v>
      </c>
      <c r="CA4" s="428">
        <v>0</v>
      </c>
      <c r="CB4" s="428">
        <v>0</v>
      </c>
      <c r="CC4" s="428">
        <v>0</v>
      </c>
      <c r="CD4" s="428">
        <v>0</v>
      </c>
      <c r="CE4" s="428">
        <v>0</v>
      </c>
      <c r="CF4" s="428">
        <v>0</v>
      </c>
      <c r="CG4" s="428">
        <v>0</v>
      </c>
      <c r="CH4" s="428">
        <v>0</v>
      </c>
      <c r="CI4" s="428">
        <v>0</v>
      </c>
      <c r="CJ4" s="428">
        <v>0</v>
      </c>
      <c r="CK4" s="428">
        <v>0</v>
      </c>
      <c r="CL4" s="428">
        <v>0</v>
      </c>
      <c r="CM4" s="428">
        <v>0</v>
      </c>
      <c r="CN4" s="428">
        <v>0</v>
      </c>
      <c r="CO4" s="428">
        <v>4664</v>
      </c>
      <c r="CP4" s="428">
        <v>0</v>
      </c>
      <c r="CQ4" s="428">
        <v>0</v>
      </c>
      <c r="CR4" s="428">
        <v>0</v>
      </c>
      <c r="CS4" s="428">
        <v>0</v>
      </c>
      <c r="CT4" s="428">
        <v>0</v>
      </c>
      <c r="CU4" s="428">
        <v>0</v>
      </c>
      <c r="CV4" s="428">
        <v>0</v>
      </c>
      <c r="CW4" s="428">
        <v>0</v>
      </c>
      <c r="CX4" s="428">
        <v>0</v>
      </c>
      <c r="CY4" s="428">
        <v>0</v>
      </c>
      <c r="CZ4" s="428">
        <v>0</v>
      </c>
      <c r="DA4" s="428">
        <v>0</v>
      </c>
      <c r="DB4" s="428">
        <v>0</v>
      </c>
      <c r="DC4" s="428">
        <v>0</v>
      </c>
      <c r="DD4" s="428">
        <v>0</v>
      </c>
      <c r="DE4" s="428">
        <v>0</v>
      </c>
      <c r="DF4" s="428">
        <v>0</v>
      </c>
      <c r="DG4" s="428">
        <v>0</v>
      </c>
      <c r="DH4" s="428">
        <v>0</v>
      </c>
      <c r="DI4" s="428">
        <v>0</v>
      </c>
      <c r="DJ4" s="428">
        <v>0</v>
      </c>
      <c r="DK4" s="428">
        <v>0</v>
      </c>
      <c r="DL4" s="428">
        <v>0</v>
      </c>
      <c r="DM4" s="428">
        <v>0</v>
      </c>
      <c r="DN4" s="428">
        <v>0</v>
      </c>
      <c r="DO4" s="428">
        <v>0</v>
      </c>
      <c r="DP4" s="428">
        <v>0</v>
      </c>
      <c r="DQ4" s="428">
        <v>0</v>
      </c>
      <c r="DR4" s="428">
        <v>0</v>
      </c>
      <c r="DS4" s="428">
        <v>0</v>
      </c>
      <c r="DT4" s="428">
        <v>0</v>
      </c>
      <c r="DU4" s="428">
        <v>0</v>
      </c>
      <c r="DV4" s="428">
        <v>0</v>
      </c>
      <c r="ED4" s="135"/>
      <c r="EE4" s="357" t="s">
        <v>645</v>
      </c>
      <c r="EF4" s="426" t="s">
        <v>776</v>
      </c>
      <c r="EG4" s="426">
        <v>2</v>
      </c>
      <c r="EH4" s="426">
        <v>19</v>
      </c>
      <c r="EI4" s="208" t="str">
        <f t="shared" si="2"/>
        <v>CLX100219</v>
      </c>
      <c r="EJ4" s="426">
        <v>466.4</v>
      </c>
      <c r="EK4" s="426">
        <v>932.8</v>
      </c>
      <c r="EL4" s="426">
        <v>1399.2</v>
      </c>
      <c r="EM4" s="426">
        <v>1865.6</v>
      </c>
      <c r="EN4" s="426">
        <v>2332</v>
      </c>
      <c r="EO4" s="426">
        <v>2798.4</v>
      </c>
      <c r="EP4" s="426">
        <v>3264.8</v>
      </c>
      <c r="EQ4" s="426">
        <v>3731.2</v>
      </c>
      <c r="ER4" s="426">
        <v>4197.6000000000004</v>
      </c>
      <c r="ES4" s="426">
        <v>4664</v>
      </c>
      <c r="ET4" s="426">
        <v>4664</v>
      </c>
      <c r="EU4" s="426">
        <v>4664</v>
      </c>
      <c r="EV4" s="426">
        <v>4664</v>
      </c>
      <c r="EW4" s="426">
        <v>4664</v>
      </c>
      <c r="EX4" s="426">
        <v>4664</v>
      </c>
      <c r="EY4" s="426">
        <v>4664</v>
      </c>
      <c r="EZ4" s="426">
        <v>4664</v>
      </c>
      <c r="FA4" s="426">
        <v>4664</v>
      </c>
      <c r="FB4" s="426">
        <v>4664</v>
      </c>
      <c r="FC4" s="426">
        <v>4664</v>
      </c>
      <c r="FD4" s="426">
        <v>4664</v>
      </c>
      <c r="FE4" s="426">
        <v>4664</v>
      </c>
      <c r="FF4" s="426">
        <v>4664</v>
      </c>
      <c r="FG4" s="426">
        <v>4664</v>
      </c>
      <c r="FH4" s="426">
        <v>4664</v>
      </c>
      <c r="FI4" s="426">
        <v>4664</v>
      </c>
      <c r="FJ4" s="426">
        <v>4664</v>
      </c>
      <c r="FK4" s="426">
        <v>4664</v>
      </c>
      <c r="FL4" s="426">
        <v>4664</v>
      </c>
      <c r="FM4" s="426">
        <v>4664</v>
      </c>
      <c r="FN4" s="426">
        <v>4664</v>
      </c>
      <c r="FO4" s="426">
        <v>4664</v>
      </c>
      <c r="FP4" s="426">
        <v>4664</v>
      </c>
      <c r="FQ4" s="426">
        <v>4664</v>
      </c>
      <c r="FR4" s="426">
        <v>4664</v>
      </c>
      <c r="FS4" s="426">
        <v>4664</v>
      </c>
      <c r="FT4" s="426">
        <v>4664</v>
      </c>
      <c r="FU4" s="426">
        <v>4664</v>
      </c>
      <c r="FV4" s="426">
        <v>4664</v>
      </c>
      <c r="FW4" s="426">
        <v>4664</v>
      </c>
      <c r="FX4" s="426">
        <v>4664</v>
      </c>
      <c r="FY4" s="426">
        <v>4664</v>
      </c>
      <c r="FZ4" s="426">
        <v>4664</v>
      </c>
      <c r="GA4" s="426">
        <v>4664</v>
      </c>
      <c r="GB4" s="426">
        <v>4664</v>
      </c>
      <c r="GC4" s="426">
        <v>4664</v>
      </c>
      <c r="GD4" s="426">
        <v>4664</v>
      </c>
      <c r="GE4" s="426">
        <v>4664</v>
      </c>
      <c r="GF4" s="426">
        <v>4664</v>
      </c>
      <c r="GG4" s="426">
        <v>4664</v>
      </c>
      <c r="GH4" s="426">
        <v>4664</v>
      </c>
      <c r="GI4" s="426">
        <v>4664</v>
      </c>
      <c r="GJ4" s="426">
        <v>4664</v>
      </c>
      <c r="GK4" s="426">
        <v>4664</v>
      </c>
      <c r="GL4" s="426">
        <v>4664</v>
      </c>
      <c r="GM4" s="426">
        <v>4664</v>
      </c>
      <c r="GN4" s="426">
        <v>4664</v>
      </c>
      <c r="GO4" s="426">
        <v>4664</v>
      </c>
      <c r="GP4" s="426">
        <v>4664</v>
      </c>
      <c r="GQ4" s="426">
        <v>4664</v>
      </c>
      <c r="GR4" s="426">
        <v>4664</v>
      </c>
      <c r="GS4" s="426">
        <v>4664</v>
      </c>
      <c r="GT4" s="426">
        <v>4664</v>
      </c>
      <c r="GU4" s="426">
        <v>4664</v>
      </c>
      <c r="GV4" s="426">
        <v>4664</v>
      </c>
      <c r="GW4" s="426">
        <v>4664</v>
      </c>
      <c r="GX4" s="426">
        <v>4664</v>
      </c>
      <c r="GY4" s="426">
        <v>4664</v>
      </c>
      <c r="GZ4" s="426">
        <v>4664</v>
      </c>
      <c r="HA4" s="426">
        <v>4664</v>
      </c>
      <c r="HB4" s="426">
        <v>4664</v>
      </c>
      <c r="HC4" s="426">
        <v>0</v>
      </c>
      <c r="HD4" s="426">
        <v>0</v>
      </c>
      <c r="HE4" s="426">
        <v>0</v>
      </c>
      <c r="HF4" s="426">
        <v>0</v>
      </c>
      <c r="HG4" s="426">
        <v>0</v>
      </c>
      <c r="HH4" s="426">
        <v>0</v>
      </c>
      <c r="HI4" s="426">
        <v>0</v>
      </c>
      <c r="HJ4" s="426">
        <v>0</v>
      </c>
      <c r="HK4" s="426">
        <v>0</v>
      </c>
      <c r="HL4" s="426">
        <v>0</v>
      </c>
      <c r="HM4" s="426">
        <v>0</v>
      </c>
      <c r="HN4" s="426">
        <v>0</v>
      </c>
      <c r="HO4" s="426">
        <v>0</v>
      </c>
      <c r="HP4" s="426">
        <v>0</v>
      </c>
      <c r="HQ4" s="426">
        <v>0</v>
      </c>
      <c r="HR4" s="426">
        <v>0</v>
      </c>
      <c r="HS4" s="426">
        <v>0</v>
      </c>
      <c r="HT4" s="426">
        <v>0</v>
      </c>
      <c r="HU4" s="426">
        <v>0</v>
      </c>
      <c r="HV4" s="426">
        <v>0</v>
      </c>
      <c r="HW4" s="426">
        <v>0</v>
      </c>
      <c r="HX4" s="426">
        <v>0</v>
      </c>
      <c r="HY4" s="426">
        <v>0</v>
      </c>
      <c r="HZ4" s="426">
        <v>0</v>
      </c>
      <c r="IA4" s="426">
        <v>0</v>
      </c>
      <c r="IB4" s="426">
        <v>0</v>
      </c>
      <c r="IC4" s="426">
        <v>0</v>
      </c>
      <c r="ID4" s="426">
        <v>0</v>
      </c>
      <c r="IE4" s="426">
        <v>0</v>
      </c>
      <c r="IF4" s="426">
        <v>0</v>
      </c>
      <c r="IG4" s="426">
        <v>0</v>
      </c>
      <c r="IH4" s="426">
        <v>0</v>
      </c>
      <c r="II4" s="426">
        <v>0</v>
      </c>
      <c r="IJ4" s="426">
        <v>0</v>
      </c>
      <c r="IK4" s="426">
        <v>0</v>
      </c>
      <c r="IL4" s="426">
        <v>0</v>
      </c>
      <c r="IM4" s="426">
        <v>0</v>
      </c>
      <c r="IN4" s="426">
        <v>0</v>
      </c>
      <c r="IO4" s="426">
        <v>0</v>
      </c>
      <c r="IP4" s="426">
        <v>0</v>
      </c>
    </row>
    <row r="5" spans="1:250" ht="15">
      <c r="A5" s="357" t="s">
        <v>645</v>
      </c>
      <c r="B5" s="427" t="s">
        <v>776</v>
      </c>
      <c r="C5" s="427"/>
      <c r="D5" s="427"/>
      <c r="E5" s="427"/>
      <c r="F5" s="427">
        <v>2</v>
      </c>
      <c r="G5" s="427"/>
      <c r="H5" s="427">
        <v>20</v>
      </c>
      <c r="I5" s="427"/>
      <c r="J5" t="str">
        <f t="shared" si="0"/>
        <v>CLX100220</v>
      </c>
      <c r="K5" s="427">
        <v>445</v>
      </c>
      <c r="R5" s="357" t="s">
        <v>645</v>
      </c>
      <c r="S5" s="428" t="s">
        <v>776</v>
      </c>
      <c r="T5" s="428">
        <v>2</v>
      </c>
      <c r="U5" s="428">
        <v>20</v>
      </c>
      <c r="V5" s="208" t="str">
        <f t="shared" si="1"/>
        <v>CLX100220</v>
      </c>
      <c r="W5" s="428">
        <v>0</v>
      </c>
      <c r="X5" s="428">
        <v>0</v>
      </c>
      <c r="Y5" s="428">
        <v>0</v>
      </c>
      <c r="Z5" s="428">
        <v>0</v>
      </c>
      <c r="AA5" s="428">
        <v>0</v>
      </c>
      <c r="AB5" s="428">
        <v>0</v>
      </c>
      <c r="AC5" s="428">
        <v>0</v>
      </c>
      <c r="AD5" s="428">
        <v>0</v>
      </c>
      <c r="AE5" s="428">
        <v>0</v>
      </c>
      <c r="AF5" s="428">
        <v>0</v>
      </c>
      <c r="AG5" s="428">
        <v>0</v>
      </c>
      <c r="AH5" s="428">
        <v>0</v>
      </c>
      <c r="AI5" s="428">
        <v>0</v>
      </c>
      <c r="AJ5" s="428">
        <v>0</v>
      </c>
      <c r="AK5" s="428">
        <v>0</v>
      </c>
      <c r="AL5" s="428">
        <v>0</v>
      </c>
      <c r="AM5" s="428">
        <v>0</v>
      </c>
      <c r="AN5" s="428">
        <v>0</v>
      </c>
      <c r="AO5" s="428">
        <v>0</v>
      </c>
      <c r="AP5" s="428">
        <v>0</v>
      </c>
      <c r="AQ5" s="428">
        <v>0</v>
      </c>
      <c r="AR5" s="428">
        <v>0</v>
      </c>
      <c r="AS5" s="428">
        <v>0</v>
      </c>
      <c r="AT5" s="428">
        <v>0</v>
      </c>
      <c r="AU5" s="428">
        <v>0</v>
      </c>
      <c r="AV5" s="428">
        <v>0</v>
      </c>
      <c r="AW5" s="428">
        <v>0</v>
      </c>
      <c r="AX5" s="428">
        <v>0</v>
      </c>
      <c r="AY5" s="428">
        <v>0</v>
      </c>
      <c r="AZ5" s="428">
        <v>0</v>
      </c>
      <c r="BA5" s="428">
        <v>0</v>
      </c>
      <c r="BB5" s="428">
        <v>0</v>
      </c>
      <c r="BC5" s="428">
        <v>0</v>
      </c>
      <c r="BD5" s="428">
        <v>0</v>
      </c>
      <c r="BE5" s="428">
        <v>0</v>
      </c>
      <c r="BF5" s="428">
        <v>0</v>
      </c>
      <c r="BG5" s="428">
        <v>0</v>
      </c>
      <c r="BH5" s="428">
        <v>0</v>
      </c>
      <c r="BI5" s="428">
        <v>0</v>
      </c>
      <c r="BJ5" s="428">
        <v>0</v>
      </c>
      <c r="BK5" s="428">
        <v>0</v>
      </c>
      <c r="BL5" s="428">
        <v>0</v>
      </c>
      <c r="BM5" s="428">
        <v>0</v>
      </c>
      <c r="BN5" s="428">
        <v>0</v>
      </c>
      <c r="BO5" s="428">
        <v>0</v>
      </c>
      <c r="BP5" s="428">
        <v>0</v>
      </c>
      <c r="BQ5" s="428">
        <v>0</v>
      </c>
      <c r="BR5" s="428">
        <v>0</v>
      </c>
      <c r="BS5" s="428">
        <v>0</v>
      </c>
      <c r="BT5" s="428">
        <v>0</v>
      </c>
      <c r="BU5" s="428">
        <v>0</v>
      </c>
      <c r="BV5" s="428">
        <v>0</v>
      </c>
      <c r="BW5" s="428">
        <v>0</v>
      </c>
      <c r="BX5" s="428">
        <v>0</v>
      </c>
      <c r="BY5" s="428">
        <v>0</v>
      </c>
      <c r="BZ5" s="428">
        <v>0</v>
      </c>
      <c r="CA5" s="428">
        <v>0</v>
      </c>
      <c r="CB5" s="428">
        <v>0</v>
      </c>
      <c r="CC5" s="428">
        <v>0</v>
      </c>
      <c r="CD5" s="428">
        <v>0</v>
      </c>
      <c r="CE5" s="428">
        <v>0</v>
      </c>
      <c r="CF5" s="428">
        <v>0</v>
      </c>
      <c r="CG5" s="428">
        <v>0</v>
      </c>
      <c r="CH5" s="428">
        <v>0</v>
      </c>
      <c r="CI5" s="428">
        <v>0</v>
      </c>
      <c r="CJ5" s="428">
        <v>0</v>
      </c>
      <c r="CK5" s="428">
        <v>0</v>
      </c>
      <c r="CL5" s="428">
        <v>0</v>
      </c>
      <c r="CM5" s="428">
        <v>0</v>
      </c>
      <c r="CN5" s="428">
        <v>4717</v>
      </c>
      <c r="CO5" s="428">
        <v>0</v>
      </c>
      <c r="CP5" s="428">
        <v>0</v>
      </c>
      <c r="CQ5" s="428">
        <v>0</v>
      </c>
      <c r="CR5" s="428">
        <v>0</v>
      </c>
      <c r="CS5" s="428">
        <v>0</v>
      </c>
      <c r="CT5" s="428">
        <v>0</v>
      </c>
      <c r="CU5" s="428">
        <v>0</v>
      </c>
      <c r="CV5" s="428">
        <v>0</v>
      </c>
      <c r="CW5" s="428">
        <v>0</v>
      </c>
      <c r="CX5" s="428">
        <v>0</v>
      </c>
      <c r="CY5" s="428">
        <v>0</v>
      </c>
      <c r="CZ5" s="428">
        <v>0</v>
      </c>
      <c r="DA5" s="428">
        <v>0</v>
      </c>
      <c r="DB5" s="428">
        <v>0</v>
      </c>
      <c r="DC5" s="428">
        <v>0</v>
      </c>
      <c r="DD5" s="428">
        <v>0</v>
      </c>
      <c r="DE5" s="428">
        <v>0</v>
      </c>
      <c r="DF5" s="428">
        <v>0</v>
      </c>
      <c r="DG5" s="428">
        <v>0</v>
      </c>
      <c r="DH5" s="428">
        <v>0</v>
      </c>
      <c r="DI5" s="428">
        <v>0</v>
      </c>
      <c r="DJ5" s="428">
        <v>0</v>
      </c>
      <c r="DK5" s="428">
        <v>0</v>
      </c>
      <c r="DL5" s="428">
        <v>0</v>
      </c>
      <c r="DM5" s="428">
        <v>0</v>
      </c>
      <c r="DN5" s="428">
        <v>0</v>
      </c>
      <c r="DO5" s="428">
        <v>0</v>
      </c>
      <c r="DP5" s="428">
        <v>0</v>
      </c>
      <c r="DQ5" s="428">
        <v>0</v>
      </c>
      <c r="DR5" s="428">
        <v>0</v>
      </c>
      <c r="DS5" s="428">
        <v>0</v>
      </c>
      <c r="DT5" s="428">
        <v>0</v>
      </c>
      <c r="DU5" s="428">
        <v>0</v>
      </c>
      <c r="DV5" s="428">
        <v>0</v>
      </c>
      <c r="ED5" s="135"/>
      <c r="EE5" s="357" t="s">
        <v>645</v>
      </c>
      <c r="EF5" s="426" t="s">
        <v>776</v>
      </c>
      <c r="EG5" s="426">
        <v>2</v>
      </c>
      <c r="EH5" s="426">
        <v>20</v>
      </c>
      <c r="EI5" s="208" t="str">
        <f t="shared" si="2"/>
        <v>CLX100220</v>
      </c>
      <c r="EJ5" s="426">
        <v>471.7</v>
      </c>
      <c r="EK5" s="426">
        <v>943.4</v>
      </c>
      <c r="EL5" s="426">
        <v>1415.1</v>
      </c>
      <c r="EM5" s="426">
        <v>1886.8</v>
      </c>
      <c r="EN5" s="426">
        <v>2358.5</v>
      </c>
      <c r="EO5" s="426">
        <v>2830.2</v>
      </c>
      <c r="EP5" s="426">
        <v>3301.9</v>
      </c>
      <c r="EQ5" s="426">
        <v>3773.6</v>
      </c>
      <c r="ER5" s="426">
        <v>4245.3</v>
      </c>
      <c r="ES5" s="426">
        <v>4717</v>
      </c>
      <c r="ET5" s="426">
        <v>4717</v>
      </c>
      <c r="EU5" s="426">
        <v>4717</v>
      </c>
      <c r="EV5" s="426">
        <v>4717</v>
      </c>
      <c r="EW5" s="426">
        <v>4717</v>
      </c>
      <c r="EX5" s="426">
        <v>4717</v>
      </c>
      <c r="EY5" s="426">
        <v>4717</v>
      </c>
      <c r="EZ5" s="426">
        <v>4717</v>
      </c>
      <c r="FA5" s="426">
        <v>4717</v>
      </c>
      <c r="FB5" s="426">
        <v>4717</v>
      </c>
      <c r="FC5" s="426">
        <v>4717</v>
      </c>
      <c r="FD5" s="426">
        <v>4717</v>
      </c>
      <c r="FE5" s="426">
        <v>4717</v>
      </c>
      <c r="FF5" s="426">
        <v>4717</v>
      </c>
      <c r="FG5" s="426">
        <v>4717</v>
      </c>
      <c r="FH5" s="426">
        <v>4717</v>
      </c>
      <c r="FI5" s="426">
        <v>4717</v>
      </c>
      <c r="FJ5" s="426">
        <v>4717</v>
      </c>
      <c r="FK5" s="426">
        <v>4717</v>
      </c>
      <c r="FL5" s="426">
        <v>4717</v>
      </c>
      <c r="FM5" s="426">
        <v>4717</v>
      </c>
      <c r="FN5" s="426">
        <v>4717</v>
      </c>
      <c r="FO5" s="426">
        <v>4717</v>
      </c>
      <c r="FP5" s="426">
        <v>4717</v>
      </c>
      <c r="FQ5" s="426">
        <v>4717</v>
      </c>
      <c r="FR5" s="426">
        <v>4717</v>
      </c>
      <c r="FS5" s="426">
        <v>4717</v>
      </c>
      <c r="FT5" s="426">
        <v>4717</v>
      </c>
      <c r="FU5" s="426">
        <v>4717</v>
      </c>
      <c r="FV5" s="426">
        <v>4717</v>
      </c>
      <c r="FW5" s="426">
        <v>4717</v>
      </c>
      <c r="FX5" s="426">
        <v>4717</v>
      </c>
      <c r="FY5" s="426">
        <v>4717</v>
      </c>
      <c r="FZ5" s="426">
        <v>4717</v>
      </c>
      <c r="GA5" s="426">
        <v>4717</v>
      </c>
      <c r="GB5" s="426">
        <v>4717</v>
      </c>
      <c r="GC5" s="426">
        <v>4717</v>
      </c>
      <c r="GD5" s="426">
        <v>4717</v>
      </c>
      <c r="GE5" s="426">
        <v>4717</v>
      </c>
      <c r="GF5" s="426">
        <v>4717</v>
      </c>
      <c r="GG5" s="426">
        <v>4717</v>
      </c>
      <c r="GH5" s="426">
        <v>4717</v>
      </c>
      <c r="GI5" s="426">
        <v>4717</v>
      </c>
      <c r="GJ5" s="426">
        <v>4717</v>
      </c>
      <c r="GK5" s="426">
        <v>4717</v>
      </c>
      <c r="GL5" s="426">
        <v>4717</v>
      </c>
      <c r="GM5" s="426">
        <v>4717</v>
      </c>
      <c r="GN5" s="426">
        <v>4717</v>
      </c>
      <c r="GO5" s="426">
        <v>4717</v>
      </c>
      <c r="GP5" s="426">
        <v>4717</v>
      </c>
      <c r="GQ5" s="426">
        <v>4717</v>
      </c>
      <c r="GR5" s="426">
        <v>4717</v>
      </c>
      <c r="GS5" s="426">
        <v>4717</v>
      </c>
      <c r="GT5" s="426">
        <v>4717</v>
      </c>
      <c r="GU5" s="426">
        <v>4717</v>
      </c>
      <c r="GV5" s="426">
        <v>4717</v>
      </c>
      <c r="GW5" s="426">
        <v>4717</v>
      </c>
      <c r="GX5" s="426">
        <v>4717</v>
      </c>
      <c r="GY5" s="426">
        <v>4717</v>
      </c>
      <c r="GZ5" s="426">
        <v>4717</v>
      </c>
      <c r="HA5" s="426">
        <v>4717</v>
      </c>
      <c r="HB5" s="426">
        <v>0</v>
      </c>
      <c r="HC5" s="426">
        <v>0</v>
      </c>
      <c r="HD5" s="426">
        <v>0</v>
      </c>
      <c r="HE5" s="426">
        <v>0</v>
      </c>
      <c r="HF5" s="426">
        <v>0</v>
      </c>
      <c r="HG5" s="426">
        <v>0</v>
      </c>
      <c r="HH5" s="426">
        <v>0</v>
      </c>
      <c r="HI5" s="426">
        <v>0</v>
      </c>
      <c r="HJ5" s="426">
        <v>0</v>
      </c>
      <c r="HK5" s="426">
        <v>0</v>
      </c>
      <c r="HL5" s="426">
        <v>0</v>
      </c>
      <c r="HM5" s="426">
        <v>0</v>
      </c>
      <c r="HN5" s="426">
        <v>0</v>
      </c>
      <c r="HO5" s="426">
        <v>0</v>
      </c>
      <c r="HP5" s="426">
        <v>0</v>
      </c>
      <c r="HQ5" s="426">
        <v>0</v>
      </c>
      <c r="HR5" s="426">
        <v>0</v>
      </c>
      <c r="HS5" s="426">
        <v>0</v>
      </c>
      <c r="HT5" s="426">
        <v>0</v>
      </c>
      <c r="HU5" s="426">
        <v>0</v>
      </c>
      <c r="HV5" s="426">
        <v>0</v>
      </c>
      <c r="HW5" s="426">
        <v>0</v>
      </c>
      <c r="HX5" s="426">
        <v>0</v>
      </c>
      <c r="HY5" s="426">
        <v>0</v>
      </c>
      <c r="HZ5" s="426">
        <v>0</v>
      </c>
      <c r="IA5" s="426">
        <v>0</v>
      </c>
      <c r="IB5" s="426">
        <v>0</v>
      </c>
      <c r="IC5" s="426">
        <v>0</v>
      </c>
      <c r="ID5" s="426">
        <v>0</v>
      </c>
      <c r="IE5" s="426">
        <v>0</v>
      </c>
      <c r="IF5" s="426">
        <v>0</v>
      </c>
      <c r="IG5" s="426">
        <v>0</v>
      </c>
      <c r="IH5" s="426">
        <v>0</v>
      </c>
      <c r="II5" s="426">
        <v>0</v>
      </c>
      <c r="IJ5" s="426">
        <v>0</v>
      </c>
      <c r="IK5" s="426">
        <v>0</v>
      </c>
      <c r="IL5" s="426">
        <v>0</v>
      </c>
      <c r="IM5" s="426">
        <v>0</v>
      </c>
      <c r="IN5" s="426">
        <v>0</v>
      </c>
      <c r="IO5" s="426">
        <v>0</v>
      </c>
      <c r="IP5" s="426">
        <v>0</v>
      </c>
    </row>
    <row r="6" spans="1:250" ht="15">
      <c r="A6" s="357" t="s">
        <v>645</v>
      </c>
      <c r="B6" s="427" t="s">
        <v>776</v>
      </c>
      <c r="C6" s="427"/>
      <c r="D6" s="427"/>
      <c r="E6" s="427"/>
      <c r="F6" s="427">
        <v>2</v>
      </c>
      <c r="G6" s="427"/>
      <c r="H6" s="427">
        <v>21</v>
      </c>
      <c r="I6" s="427"/>
      <c r="J6" t="str">
        <f t="shared" si="0"/>
        <v>CLX100221</v>
      </c>
      <c r="K6" s="427">
        <v>450</v>
      </c>
      <c r="R6" s="357" t="s">
        <v>645</v>
      </c>
      <c r="S6" s="428" t="s">
        <v>776</v>
      </c>
      <c r="T6" s="428">
        <v>2</v>
      </c>
      <c r="U6" s="428">
        <v>21</v>
      </c>
      <c r="V6" s="208" t="str">
        <f t="shared" si="1"/>
        <v>CLX100221</v>
      </c>
      <c r="W6" s="428">
        <v>0</v>
      </c>
      <c r="X6" s="428">
        <v>0</v>
      </c>
      <c r="Y6" s="428">
        <v>0</v>
      </c>
      <c r="Z6" s="428">
        <v>0</v>
      </c>
      <c r="AA6" s="428">
        <v>0</v>
      </c>
      <c r="AB6" s="428">
        <v>0</v>
      </c>
      <c r="AC6" s="428">
        <v>0</v>
      </c>
      <c r="AD6" s="428">
        <v>0</v>
      </c>
      <c r="AE6" s="428">
        <v>0</v>
      </c>
      <c r="AF6" s="428">
        <v>0</v>
      </c>
      <c r="AG6" s="428">
        <v>0</v>
      </c>
      <c r="AH6" s="428">
        <v>0</v>
      </c>
      <c r="AI6" s="428">
        <v>0</v>
      </c>
      <c r="AJ6" s="428">
        <v>0</v>
      </c>
      <c r="AK6" s="428">
        <v>0</v>
      </c>
      <c r="AL6" s="428">
        <v>0</v>
      </c>
      <c r="AM6" s="428">
        <v>0</v>
      </c>
      <c r="AN6" s="428">
        <v>0</v>
      </c>
      <c r="AO6" s="428">
        <v>0</v>
      </c>
      <c r="AP6" s="428">
        <v>0</v>
      </c>
      <c r="AQ6" s="428">
        <v>0</v>
      </c>
      <c r="AR6" s="428">
        <v>0</v>
      </c>
      <c r="AS6" s="428">
        <v>0</v>
      </c>
      <c r="AT6" s="428">
        <v>0</v>
      </c>
      <c r="AU6" s="428">
        <v>0</v>
      </c>
      <c r="AV6" s="428">
        <v>0</v>
      </c>
      <c r="AW6" s="428">
        <v>0</v>
      </c>
      <c r="AX6" s="428">
        <v>0</v>
      </c>
      <c r="AY6" s="428">
        <v>0</v>
      </c>
      <c r="AZ6" s="428">
        <v>0</v>
      </c>
      <c r="BA6" s="428">
        <v>0</v>
      </c>
      <c r="BB6" s="428">
        <v>0</v>
      </c>
      <c r="BC6" s="428">
        <v>0</v>
      </c>
      <c r="BD6" s="428">
        <v>0</v>
      </c>
      <c r="BE6" s="428">
        <v>0</v>
      </c>
      <c r="BF6" s="428">
        <v>0</v>
      </c>
      <c r="BG6" s="428">
        <v>0</v>
      </c>
      <c r="BH6" s="428">
        <v>0</v>
      </c>
      <c r="BI6" s="428">
        <v>0</v>
      </c>
      <c r="BJ6" s="428">
        <v>0</v>
      </c>
      <c r="BK6" s="428">
        <v>0</v>
      </c>
      <c r="BL6" s="428">
        <v>0</v>
      </c>
      <c r="BM6" s="428">
        <v>0</v>
      </c>
      <c r="BN6" s="428">
        <v>0</v>
      </c>
      <c r="BO6" s="428">
        <v>0</v>
      </c>
      <c r="BP6" s="428">
        <v>0</v>
      </c>
      <c r="BQ6" s="428">
        <v>0</v>
      </c>
      <c r="BR6" s="428">
        <v>0</v>
      </c>
      <c r="BS6" s="428">
        <v>0</v>
      </c>
      <c r="BT6" s="428">
        <v>0</v>
      </c>
      <c r="BU6" s="428">
        <v>0</v>
      </c>
      <c r="BV6" s="428">
        <v>0</v>
      </c>
      <c r="BW6" s="428">
        <v>0</v>
      </c>
      <c r="BX6" s="428">
        <v>0</v>
      </c>
      <c r="BY6" s="428">
        <v>0</v>
      </c>
      <c r="BZ6" s="428">
        <v>0</v>
      </c>
      <c r="CA6" s="428">
        <v>0</v>
      </c>
      <c r="CB6" s="428">
        <v>0</v>
      </c>
      <c r="CC6" s="428">
        <v>0</v>
      </c>
      <c r="CD6" s="428">
        <v>0</v>
      </c>
      <c r="CE6" s="428">
        <v>0</v>
      </c>
      <c r="CF6" s="428">
        <v>0</v>
      </c>
      <c r="CG6" s="428">
        <v>0</v>
      </c>
      <c r="CH6" s="428">
        <v>0</v>
      </c>
      <c r="CI6" s="428">
        <v>0</v>
      </c>
      <c r="CJ6" s="428">
        <v>0</v>
      </c>
      <c r="CK6" s="428">
        <v>0</v>
      </c>
      <c r="CL6" s="428">
        <v>0</v>
      </c>
      <c r="CM6" s="428">
        <v>4770</v>
      </c>
      <c r="CN6" s="428">
        <v>0</v>
      </c>
      <c r="CO6" s="428">
        <v>0</v>
      </c>
      <c r="CP6" s="428">
        <v>0</v>
      </c>
      <c r="CQ6" s="428">
        <v>0</v>
      </c>
      <c r="CR6" s="428">
        <v>0</v>
      </c>
      <c r="CS6" s="428">
        <v>0</v>
      </c>
      <c r="CT6" s="428">
        <v>0</v>
      </c>
      <c r="CU6" s="428">
        <v>0</v>
      </c>
      <c r="CV6" s="428">
        <v>0</v>
      </c>
      <c r="CW6" s="428">
        <v>0</v>
      </c>
      <c r="CX6" s="428">
        <v>0</v>
      </c>
      <c r="CY6" s="428">
        <v>0</v>
      </c>
      <c r="CZ6" s="428">
        <v>0</v>
      </c>
      <c r="DA6" s="428">
        <v>0</v>
      </c>
      <c r="DB6" s="428">
        <v>0</v>
      </c>
      <c r="DC6" s="428">
        <v>0</v>
      </c>
      <c r="DD6" s="428">
        <v>0</v>
      </c>
      <c r="DE6" s="428">
        <v>0</v>
      </c>
      <c r="DF6" s="428">
        <v>0</v>
      </c>
      <c r="DG6" s="428">
        <v>0</v>
      </c>
      <c r="DH6" s="428">
        <v>0</v>
      </c>
      <c r="DI6" s="428">
        <v>0</v>
      </c>
      <c r="DJ6" s="428">
        <v>0</v>
      </c>
      <c r="DK6" s="428">
        <v>0</v>
      </c>
      <c r="DL6" s="428">
        <v>0</v>
      </c>
      <c r="DM6" s="428">
        <v>0</v>
      </c>
      <c r="DN6" s="428">
        <v>0</v>
      </c>
      <c r="DO6" s="428">
        <v>0</v>
      </c>
      <c r="DP6" s="428">
        <v>0</v>
      </c>
      <c r="DQ6" s="428">
        <v>0</v>
      </c>
      <c r="DR6" s="428">
        <v>0</v>
      </c>
      <c r="DS6" s="428">
        <v>0</v>
      </c>
      <c r="DT6" s="428">
        <v>0</v>
      </c>
      <c r="DU6" s="428">
        <v>0</v>
      </c>
      <c r="DV6" s="428">
        <v>0</v>
      </c>
      <c r="ED6" s="135"/>
      <c r="EE6" s="357" t="s">
        <v>645</v>
      </c>
      <c r="EF6" s="426" t="s">
        <v>776</v>
      </c>
      <c r="EG6" s="426">
        <v>2</v>
      </c>
      <c r="EH6" s="426">
        <v>21</v>
      </c>
      <c r="EI6" s="208" t="str">
        <f t="shared" si="2"/>
        <v>CLX100221</v>
      </c>
      <c r="EJ6" s="426">
        <v>477</v>
      </c>
      <c r="EK6" s="426">
        <v>954</v>
      </c>
      <c r="EL6" s="426">
        <v>1431</v>
      </c>
      <c r="EM6" s="426">
        <v>1908</v>
      </c>
      <c r="EN6" s="426">
        <v>2385</v>
      </c>
      <c r="EO6" s="426">
        <v>2862</v>
      </c>
      <c r="EP6" s="426">
        <v>3339</v>
      </c>
      <c r="EQ6" s="426">
        <v>3816</v>
      </c>
      <c r="ER6" s="426">
        <v>4293</v>
      </c>
      <c r="ES6" s="426">
        <v>4770</v>
      </c>
      <c r="ET6" s="426">
        <v>4770</v>
      </c>
      <c r="EU6" s="426">
        <v>4770</v>
      </c>
      <c r="EV6" s="426">
        <v>4770</v>
      </c>
      <c r="EW6" s="426">
        <v>4770</v>
      </c>
      <c r="EX6" s="426">
        <v>4770</v>
      </c>
      <c r="EY6" s="426">
        <v>4770</v>
      </c>
      <c r="EZ6" s="426">
        <v>4770</v>
      </c>
      <c r="FA6" s="426">
        <v>4770</v>
      </c>
      <c r="FB6" s="426">
        <v>4770</v>
      </c>
      <c r="FC6" s="426">
        <v>4770</v>
      </c>
      <c r="FD6" s="426">
        <v>4770</v>
      </c>
      <c r="FE6" s="426">
        <v>4770</v>
      </c>
      <c r="FF6" s="426">
        <v>4770</v>
      </c>
      <c r="FG6" s="426">
        <v>4770</v>
      </c>
      <c r="FH6" s="426">
        <v>4770</v>
      </c>
      <c r="FI6" s="426">
        <v>4770</v>
      </c>
      <c r="FJ6" s="426">
        <v>4770</v>
      </c>
      <c r="FK6" s="426">
        <v>4770</v>
      </c>
      <c r="FL6" s="426">
        <v>4770</v>
      </c>
      <c r="FM6" s="426">
        <v>4770</v>
      </c>
      <c r="FN6" s="426">
        <v>4770</v>
      </c>
      <c r="FO6" s="426">
        <v>4770</v>
      </c>
      <c r="FP6" s="426">
        <v>4770</v>
      </c>
      <c r="FQ6" s="426">
        <v>4770</v>
      </c>
      <c r="FR6" s="426">
        <v>4770</v>
      </c>
      <c r="FS6" s="426">
        <v>4770</v>
      </c>
      <c r="FT6" s="426">
        <v>4770</v>
      </c>
      <c r="FU6" s="426">
        <v>4770</v>
      </c>
      <c r="FV6" s="426">
        <v>4770</v>
      </c>
      <c r="FW6" s="426">
        <v>4770</v>
      </c>
      <c r="FX6" s="426">
        <v>4770</v>
      </c>
      <c r="FY6" s="426">
        <v>4770</v>
      </c>
      <c r="FZ6" s="426">
        <v>4770</v>
      </c>
      <c r="GA6" s="426">
        <v>4770</v>
      </c>
      <c r="GB6" s="426">
        <v>4770</v>
      </c>
      <c r="GC6" s="426">
        <v>4770</v>
      </c>
      <c r="GD6" s="426">
        <v>4770</v>
      </c>
      <c r="GE6" s="426">
        <v>4770</v>
      </c>
      <c r="GF6" s="426">
        <v>4770</v>
      </c>
      <c r="GG6" s="426">
        <v>4770</v>
      </c>
      <c r="GH6" s="426">
        <v>4770</v>
      </c>
      <c r="GI6" s="426">
        <v>4770</v>
      </c>
      <c r="GJ6" s="426">
        <v>4770</v>
      </c>
      <c r="GK6" s="426">
        <v>4770</v>
      </c>
      <c r="GL6" s="426">
        <v>4770</v>
      </c>
      <c r="GM6" s="426">
        <v>4770</v>
      </c>
      <c r="GN6" s="426">
        <v>4770</v>
      </c>
      <c r="GO6" s="426">
        <v>4770</v>
      </c>
      <c r="GP6" s="426">
        <v>4770</v>
      </c>
      <c r="GQ6" s="426">
        <v>4770</v>
      </c>
      <c r="GR6" s="426">
        <v>4770</v>
      </c>
      <c r="GS6" s="426">
        <v>4770</v>
      </c>
      <c r="GT6" s="426">
        <v>4770</v>
      </c>
      <c r="GU6" s="426">
        <v>4770</v>
      </c>
      <c r="GV6" s="426">
        <v>4770</v>
      </c>
      <c r="GW6" s="426">
        <v>4770</v>
      </c>
      <c r="GX6" s="426">
        <v>4770</v>
      </c>
      <c r="GY6" s="426">
        <v>4770</v>
      </c>
      <c r="GZ6" s="426">
        <v>4770</v>
      </c>
      <c r="HA6" s="426">
        <v>0</v>
      </c>
      <c r="HB6" s="426">
        <v>0</v>
      </c>
      <c r="HC6" s="426">
        <v>0</v>
      </c>
      <c r="HD6" s="426">
        <v>0</v>
      </c>
      <c r="HE6" s="426">
        <v>0</v>
      </c>
      <c r="HF6" s="426">
        <v>0</v>
      </c>
      <c r="HG6" s="426">
        <v>0</v>
      </c>
      <c r="HH6" s="426">
        <v>0</v>
      </c>
      <c r="HI6" s="426">
        <v>0</v>
      </c>
      <c r="HJ6" s="426">
        <v>0</v>
      </c>
      <c r="HK6" s="426">
        <v>0</v>
      </c>
      <c r="HL6" s="426">
        <v>0</v>
      </c>
      <c r="HM6" s="426">
        <v>0</v>
      </c>
      <c r="HN6" s="426">
        <v>0</v>
      </c>
      <c r="HO6" s="426">
        <v>0</v>
      </c>
      <c r="HP6" s="426">
        <v>0</v>
      </c>
      <c r="HQ6" s="426">
        <v>0</v>
      </c>
      <c r="HR6" s="426">
        <v>0</v>
      </c>
      <c r="HS6" s="426">
        <v>0</v>
      </c>
      <c r="HT6" s="426">
        <v>0</v>
      </c>
      <c r="HU6" s="426">
        <v>0</v>
      </c>
      <c r="HV6" s="426">
        <v>0</v>
      </c>
      <c r="HW6" s="426">
        <v>0</v>
      </c>
      <c r="HX6" s="426">
        <v>0</v>
      </c>
      <c r="HY6" s="426">
        <v>0</v>
      </c>
      <c r="HZ6" s="426">
        <v>0</v>
      </c>
      <c r="IA6" s="426">
        <v>0</v>
      </c>
      <c r="IB6" s="426">
        <v>0</v>
      </c>
      <c r="IC6" s="426">
        <v>0</v>
      </c>
      <c r="ID6" s="426">
        <v>0</v>
      </c>
      <c r="IE6" s="426">
        <v>0</v>
      </c>
      <c r="IF6" s="426">
        <v>0</v>
      </c>
      <c r="IG6" s="426">
        <v>0</v>
      </c>
      <c r="IH6" s="426">
        <v>0</v>
      </c>
      <c r="II6" s="426">
        <v>0</v>
      </c>
      <c r="IJ6" s="426">
        <v>0</v>
      </c>
      <c r="IK6" s="426">
        <v>0</v>
      </c>
      <c r="IL6" s="426">
        <v>0</v>
      </c>
      <c r="IM6" s="426">
        <v>0</v>
      </c>
      <c r="IN6" s="426">
        <v>0</v>
      </c>
      <c r="IO6" s="426">
        <v>0</v>
      </c>
      <c r="IP6" s="426">
        <v>0</v>
      </c>
    </row>
    <row r="7" spans="1:250" ht="15">
      <c r="A7" s="357" t="s">
        <v>645</v>
      </c>
      <c r="B7" s="427" t="s">
        <v>776</v>
      </c>
      <c r="C7" s="427"/>
      <c r="D7" s="427"/>
      <c r="E7" s="427"/>
      <c r="F7" s="427">
        <v>2</v>
      </c>
      <c r="G7" s="427"/>
      <c r="H7" s="427">
        <v>22</v>
      </c>
      <c r="I7" s="427"/>
      <c r="J7" t="str">
        <f t="shared" si="0"/>
        <v>CLX100222</v>
      </c>
      <c r="K7" s="427">
        <v>455</v>
      </c>
      <c r="R7" s="357" t="s">
        <v>645</v>
      </c>
      <c r="S7" s="428" t="s">
        <v>776</v>
      </c>
      <c r="T7" s="428">
        <v>2</v>
      </c>
      <c r="U7" s="428">
        <v>22</v>
      </c>
      <c r="V7" s="208" t="str">
        <f t="shared" si="1"/>
        <v>CLX100222</v>
      </c>
      <c r="W7" s="428">
        <v>0</v>
      </c>
      <c r="X7" s="428">
        <v>0</v>
      </c>
      <c r="Y7" s="428">
        <v>0</v>
      </c>
      <c r="Z7" s="428">
        <v>0</v>
      </c>
      <c r="AA7" s="428">
        <v>0</v>
      </c>
      <c r="AB7" s="428">
        <v>0</v>
      </c>
      <c r="AC7" s="428">
        <v>0</v>
      </c>
      <c r="AD7" s="428">
        <v>0</v>
      </c>
      <c r="AE7" s="428">
        <v>0</v>
      </c>
      <c r="AF7" s="428">
        <v>0</v>
      </c>
      <c r="AG7" s="428">
        <v>0</v>
      </c>
      <c r="AH7" s="428">
        <v>0</v>
      </c>
      <c r="AI7" s="428">
        <v>0</v>
      </c>
      <c r="AJ7" s="428">
        <v>0</v>
      </c>
      <c r="AK7" s="428">
        <v>0</v>
      </c>
      <c r="AL7" s="428">
        <v>0</v>
      </c>
      <c r="AM7" s="428">
        <v>0</v>
      </c>
      <c r="AN7" s="428">
        <v>0</v>
      </c>
      <c r="AO7" s="428">
        <v>0</v>
      </c>
      <c r="AP7" s="428">
        <v>0</v>
      </c>
      <c r="AQ7" s="428">
        <v>0</v>
      </c>
      <c r="AR7" s="428">
        <v>0</v>
      </c>
      <c r="AS7" s="428">
        <v>0</v>
      </c>
      <c r="AT7" s="428">
        <v>0</v>
      </c>
      <c r="AU7" s="428">
        <v>0</v>
      </c>
      <c r="AV7" s="428">
        <v>0</v>
      </c>
      <c r="AW7" s="428">
        <v>0</v>
      </c>
      <c r="AX7" s="428">
        <v>0</v>
      </c>
      <c r="AY7" s="428">
        <v>0</v>
      </c>
      <c r="AZ7" s="428">
        <v>0</v>
      </c>
      <c r="BA7" s="428">
        <v>0</v>
      </c>
      <c r="BB7" s="428">
        <v>0</v>
      </c>
      <c r="BC7" s="428">
        <v>0</v>
      </c>
      <c r="BD7" s="428">
        <v>0</v>
      </c>
      <c r="BE7" s="428">
        <v>0</v>
      </c>
      <c r="BF7" s="428">
        <v>0</v>
      </c>
      <c r="BG7" s="428">
        <v>0</v>
      </c>
      <c r="BH7" s="428">
        <v>0</v>
      </c>
      <c r="BI7" s="428">
        <v>0</v>
      </c>
      <c r="BJ7" s="428">
        <v>0</v>
      </c>
      <c r="BK7" s="428">
        <v>0</v>
      </c>
      <c r="BL7" s="428">
        <v>0</v>
      </c>
      <c r="BM7" s="428">
        <v>0</v>
      </c>
      <c r="BN7" s="428">
        <v>0</v>
      </c>
      <c r="BO7" s="428">
        <v>0</v>
      </c>
      <c r="BP7" s="428">
        <v>0</v>
      </c>
      <c r="BQ7" s="428">
        <v>0</v>
      </c>
      <c r="BR7" s="428">
        <v>0</v>
      </c>
      <c r="BS7" s="428">
        <v>0</v>
      </c>
      <c r="BT7" s="428">
        <v>0</v>
      </c>
      <c r="BU7" s="428">
        <v>0</v>
      </c>
      <c r="BV7" s="428">
        <v>0</v>
      </c>
      <c r="BW7" s="428">
        <v>0</v>
      </c>
      <c r="BX7" s="428">
        <v>0</v>
      </c>
      <c r="BY7" s="428">
        <v>0</v>
      </c>
      <c r="BZ7" s="428">
        <v>0</v>
      </c>
      <c r="CA7" s="428">
        <v>0</v>
      </c>
      <c r="CB7" s="428">
        <v>0</v>
      </c>
      <c r="CC7" s="428">
        <v>0</v>
      </c>
      <c r="CD7" s="428">
        <v>0</v>
      </c>
      <c r="CE7" s="428">
        <v>0</v>
      </c>
      <c r="CF7" s="428">
        <v>0</v>
      </c>
      <c r="CG7" s="428">
        <v>0</v>
      </c>
      <c r="CH7" s="428">
        <v>0</v>
      </c>
      <c r="CI7" s="428">
        <v>0</v>
      </c>
      <c r="CJ7" s="428">
        <v>0</v>
      </c>
      <c r="CK7" s="428">
        <v>0</v>
      </c>
      <c r="CL7" s="428">
        <v>4823</v>
      </c>
      <c r="CM7" s="428">
        <v>0</v>
      </c>
      <c r="CN7" s="428">
        <v>0</v>
      </c>
      <c r="CO7" s="428">
        <v>0</v>
      </c>
      <c r="CP7" s="428">
        <v>0</v>
      </c>
      <c r="CQ7" s="428">
        <v>0</v>
      </c>
      <c r="CR7" s="428">
        <v>0</v>
      </c>
      <c r="CS7" s="428">
        <v>0</v>
      </c>
      <c r="CT7" s="428">
        <v>0</v>
      </c>
      <c r="CU7" s="428">
        <v>0</v>
      </c>
      <c r="CV7" s="428">
        <v>0</v>
      </c>
      <c r="CW7" s="428">
        <v>0</v>
      </c>
      <c r="CX7" s="428">
        <v>0</v>
      </c>
      <c r="CY7" s="428">
        <v>0</v>
      </c>
      <c r="CZ7" s="428">
        <v>0</v>
      </c>
      <c r="DA7" s="428">
        <v>0</v>
      </c>
      <c r="DB7" s="428">
        <v>0</v>
      </c>
      <c r="DC7" s="428">
        <v>0</v>
      </c>
      <c r="DD7" s="428">
        <v>0</v>
      </c>
      <c r="DE7" s="428">
        <v>0</v>
      </c>
      <c r="DF7" s="428">
        <v>0</v>
      </c>
      <c r="DG7" s="428">
        <v>0</v>
      </c>
      <c r="DH7" s="428">
        <v>0</v>
      </c>
      <c r="DI7" s="428">
        <v>0</v>
      </c>
      <c r="DJ7" s="428">
        <v>0</v>
      </c>
      <c r="DK7" s="428">
        <v>0</v>
      </c>
      <c r="DL7" s="428">
        <v>0</v>
      </c>
      <c r="DM7" s="428">
        <v>0</v>
      </c>
      <c r="DN7" s="428">
        <v>0</v>
      </c>
      <c r="DO7" s="428">
        <v>0</v>
      </c>
      <c r="DP7" s="428">
        <v>0</v>
      </c>
      <c r="DQ7" s="428">
        <v>0</v>
      </c>
      <c r="DR7" s="428">
        <v>0</v>
      </c>
      <c r="DS7" s="428">
        <v>0</v>
      </c>
      <c r="DT7" s="428">
        <v>0</v>
      </c>
      <c r="DU7" s="428">
        <v>0</v>
      </c>
      <c r="DV7" s="428">
        <v>0</v>
      </c>
      <c r="ED7" s="135"/>
      <c r="EE7" s="357" t="s">
        <v>645</v>
      </c>
      <c r="EF7" s="426" t="s">
        <v>776</v>
      </c>
      <c r="EG7" s="426">
        <v>2</v>
      </c>
      <c r="EH7" s="426">
        <v>22</v>
      </c>
      <c r="EI7" s="208" t="str">
        <f t="shared" si="2"/>
        <v>CLX100222</v>
      </c>
      <c r="EJ7" s="426">
        <v>482.3</v>
      </c>
      <c r="EK7" s="426">
        <v>964.6</v>
      </c>
      <c r="EL7" s="426">
        <v>1446.9</v>
      </c>
      <c r="EM7" s="426">
        <v>1929.2</v>
      </c>
      <c r="EN7" s="426">
        <v>2411.5</v>
      </c>
      <c r="EO7" s="426">
        <v>2893.8</v>
      </c>
      <c r="EP7" s="426">
        <v>3376.1</v>
      </c>
      <c r="EQ7" s="426">
        <v>3858.4</v>
      </c>
      <c r="ER7" s="426">
        <v>4340.7</v>
      </c>
      <c r="ES7" s="426">
        <v>4823</v>
      </c>
      <c r="ET7" s="426">
        <v>4823</v>
      </c>
      <c r="EU7" s="426">
        <v>4823</v>
      </c>
      <c r="EV7" s="426">
        <v>4823</v>
      </c>
      <c r="EW7" s="426">
        <v>4823</v>
      </c>
      <c r="EX7" s="426">
        <v>4823</v>
      </c>
      <c r="EY7" s="426">
        <v>4823</v>
      </c>
      <c r="EZ7" s="426">
        <v>4823</v>
      </c>
      <c r="FA7" s="426">
        <v>4823</v>
      </c>
      <c r="FB7" s="426">
        <v>4823</v>
      </c>
      <c r="FC7" s="426">
        <v>4823</v>
      </c>
      <c r="FD7" s="426">
        <v>4823</v>
      </c>
      <c r="FE7" s="426">
        <v>4823</v>
      </c>
      <c r="FF7" s="426">
        <v>4823</v>
      </c>
      <c r="FG7" s="426">
        <v>4823</v>
      </c>
      <c r="FH7" s="426">
        <v>4823</v>
      </c>
      <c r="FI7" s="426">
        <v>4823</v>
      </c>
      <c r="FJ7" s="426">
        <v>4823</v>
      </c>
      <c r="FK7" s="426">
        <v>4823</v>
      </c>
      <c r="FL7" s="426">
        <v>4823</v>
      </c>
      <c r="FM7" s="426">
        <v>4823</v>
      </c>
      <c r="FN7" s="426">
        <v>4823</v>
      </c>
      <c r="FO7" s="426">
        <v>4823</v>
      </c>
      <c r="FP7" s="426">
        <v>4823</v>
      </c>
      <c r="FQ7" s="426">
        <v>4823</v>
      </c>
      <c r="FR7" s="426">
        <v>4823</v>
      </c>
      <c r="FS7" s="426">
        <v>4823</v>
      </c>
      <c r="FT7" s="426">
        <v>4823</v>
      </c>
      <c r="FU7" s="426">
        <v>4823</v>
      </c>
      <c r="FV7" s="426">
        <v>4823</v>
      </c>
      <c r="FW7" s="426">
        <v>4823</v>
      </c>
      <c r="FX7" s="426">
        <v>4823</v>
      </c>
      <c r="FY7" s="426">
        <v>4823</v>
      </c>
      <c r="FZ7" s="426">
        <v>4823</v>
      </c>
      <c r="GA7" s="426">
        <v>4823</v>
      </c>
      <c r="GB7" s="426">
        <v>4823</v>
      </c>
      <c r="GC7" s="426">
        <v>4823</v>
      </c>
      <c r="GD7" s="426">
        <v>4823</v>
      </c>
      <c r="GE7" s="426">
        <v>4823</v>
      </c>
      <c r="GF7" s="426">
        <v>4823</v>
      </c>
      <c r="GG7" s="426">
        <v>4823</v>
      </c>
      <c r="GH7" s="426">
        <v>4823</v>
      </c>
      <c r="GI7" s="426">
        <v>4823</v>
      </c>
      <c r="GJ7" s="426">
        <v>4823</v>
      </c>
      <c r="GK7" s="426">
        <v>4823</v>
      </c>
      <c r="GL7" s="426">
        <v>4823</v>
      </c>
      <c r="GM7" s="426">
        <v>4823</v>
      </c>
      <c r="GN7" s="426">
        <v>4823</v>
      </c>
      <c r="GO7" s="426">
        <v>4823</v>
      </c>
      <c r="GP7" s="426">
        <v>4823</v>
      </c>
      <c r="GQ7" s="426">
        <v>4823</v>
      </c>
      <c r="GR7" s="426">
        <v>4823</v>
      </c>
      <c r="GS7" s="426">
        <v>4823</v>
      </c>
      <c r="GT7" s="426">
        <v>4823</v>
      </c>
      <c r="GU7" s="426">
        <v>4823</v>
      </c>
      <c r="GV7" s="426">
        <v>4823</v>
      </c>
      <c r="GW7" s="426">
        <v>4823</v>
      </c>
      <c r="GX7" s="426">
        <v>4823</v>
      </c>
      <c r="GY7" s="426">
        <v>4823</v>
      </c>
      <c r="GZ7" s="426">
        <v>0</v>
      </c>
      <c r="HA7" s="426">
        <v>0</v>
      </c>
      <c r="HB7" s="426">
        <v>0</v>
      </c>
      <c r="HC7" s="426">
        <v>0</v>
      </c>
      <c r="HD7" s="426">
        <v>0</v>
      </c>
      <c r="HE7" s="426">
        <v>0</v>
      </c>
      <c r="HF7" s="426">
        <v>0</v>
      </c>
      <c r="HG7" s="426">
        <v>0</v>
      </c>
      <c r="HH7" s="426">
        <v>0</v>
      </c>
      <c r="HI7" s="426">
        <v>0</v>
      </c>
      <c r="HJ7" s="426">
        <v>0</v>
      </c>
      <c r="HK7" s="426">
        <v>0</v>
      </c>
      <c r="HL7" s="426">
        <v>0</v>
      </c>
      <c r="HM7" s="426">
        <v>0</v>
      </c>
      <c r="HN7" s="426">
        <v>0</v>
      </c>
      <c r="HO7" s="426">
        <v>0</v>
      </c>
      <c r="HP7" s="426">
        <v>0</v>
      </c>
      <c r="HQ7" s="426">
        <v>0</v>
      </c>
      <c r="HR7" s="426">
        <v>0</v>
      </c>
      <c r="HS7" s="426">
        <v>0</v>
      </c>
      <c r="HT7" s="426">
        <v>0</v>
      </c>
      <c r="HU7" s="426">
        <v>0</v>
      </c>
      <c r="HV7" s="426">
        <v>0</v>
      </c>
      <c r="HW7" s="426">
        <v>0</v>
      </c>
      <c r="HX7" s="426">
        <v>0</v>
      </c>
      <c r="HY7" s="426">
        <v>0</v>
      </c>
      <c r="HZ7" s="426">
        <v>0</v>
      </c>
      <c r="IA7" s="426">
        <v>0</v>
      </c>
      <c r="IB7" s="426">
        <v>0</v>
      </c>
      <c r="IC7" s="426">
        <v>0</v>
      </c>
      <c r="ID7" s="426">
        <v>0</v>
      </c>
      <c r="IE7" s="426">
        <v>0</v>
      </c>
      <c r="IF7" s="426">
        <v>0</v>
      </c>
      <c r="IG7" s="426">
        <v>0</v>
      </c>
      <c r="IH7" s="426">
        <v>0</v>
      </c>
      <c r="II7" s="426">
        <v>0</v>
      </c>
      <c r="IJ7" s="426">
        <v>0</v>
      </c>
      <c r="IK7" s="426">
        <v>0</v>
      </c>
      <c r="IL7" s="426">
        <v>0</v>
      </c>
      <c r="IM7" s="426">
        <v>0</v>
      </c>
      <c r="IN7" s="426">
        <v>0</v>
      </c>
      <c r="IO7" s="426">
        <v>0</v>
      </c>
      <c r="IP7" s="426">
        <v>0</v>
      </c>
    </row>
    <row r="8" spans="1:250" ht="15">
      <c r="A8" s="357" t="s">
        <v>645</v>
      </c>
      <c r="B8" s="427" t="s">
        <v>776</v>
      </c>
      <c r="C8" s="427"/>
      <c r="D8" s="427"/>
      <c r="E8" s="427"/>
      <c r="F8" s="427">
        <v>2</v>
      </c>
      <c r="G8" s="427"/>
      <c r="H8" s="427">
        <v>23</v>
      </c>
      <c r="I8" s="427"/>
      <c r="J8" t="str">
        <f t="shared" si="0"/>
        <v>CLX100223</v>
      </c>
      <c r="K8" s="427">
        <v>460</v>
      </c>
      <c r="R8" s="357" t="s">
        <v>645</v>
      </c>
      <c r="S8" s="428" t="s">
        <v>776</v>
      </c>
      <c r="T8" s="428">
        <v>2</v>
      </c>
      <c r="U8" s="428">
        <v>23</v>
      </c>
      <c r="V8" s="208" t="str">
        <f t="shared" si="1"/>
        <v>CLX100223</v>
      </c>
      <c r="W8" s="428">
        <v>0</v>
      </c>
      <c r="X8" s="428">
        <v>0</v>
      </c>
      <c r="Y8" s="428">
        <v>0</v>
      </c>
      <c r="Z8" s="428">
        <v>0</v>
      </c>
      <c r="AA8" s="428">
        <v>0</v>
      </c>
      <c r="AB8" s="428">
        <v>0</v>
      </c>
      <c r="AC8" s="428">
        <v>0</v>
      </c>
      <c r="AD8" s="428">
        <v>0</v>
      </c>
      <c r="AE8" s="428">
        <v>0</v>
      </c>
      <c r="AF8" s="428">
        <v>0</v>
      </c>
      <c r="AG8" s="428">
        <v>0</v>
      </c>
      <c r="AH8" s="428">
        <v>0</v>
      </c>
      <c r="AI8" s="428">
        <v>0</v>
      </c>
      <c r="AJ8" s="428">
        <v>0</v>
      </c>
      <c r="AK8" s="428">
        <v>0</v>
      </c>
      <c r="AL8" s="428">
        <v>0</v>
      </c>
      <c r="AM8" s="428">
        <v>0</v>
      </c>
      <c r="AN8" s="428">
        <v>0</v>
      </c>
      <c r="AO8" s="428">
        <v>0</v>
      </c>
      <c r="AP8" s="428">
        <v>0</v>
      </c>
      <c r="AQ8" s="428">
        <v>0</v>
      </c>
      <c r="AR8" s="428">
        <v>0</v>
      </c>
      <c r="AS8" s="428">
        <v>0</v>
      </c>
      <c r="AT8" s="428">
        <v>0</v>
      </c>
      <c r="AU8" s="428">
        <v>0</v>
      </c>
      <c r="AV8" s="428">
        <v>0</v>
      </c>
      <c r="AW8" s="428">
        <v>0</v>
      </c>
      <c r="AX8" s="428">
        <v>0</v>
      </c>
      <c r="AY8" s="428">
        <v>0</v>
      </c>
      <c r="AZ8" s="428">
        <v>0</v>
      </c>
      <c r="BA8" s="428">
        <v>0</v>
      </c>
      <c r="BB8" s="428">
        <v>0</v>
      </c>
      <c r="BC8" s="428">
        <v>0</v>
      </c>
      <c r="BD8" s="428">
        <v>0</v>
      </c>
      <c r="BE8" s="428">
        <v>0</v>
      </c>
      <c r="BF8" s="428">
        <v>0</v>
      </c>
      <c r="BG8" s="428">
        <v>0</v>
      </c>
      <c r="BH8" s="428">
        <v>0</v>
      </c>
      <c r="BI8" s="428">
        <v>0</v>
      </c>
      <c r="BJ8" s="428">
        <v>0</v>
      </c>
      <c r="BK8" s="428">
        <v>0</v>
      </c>
      <c r="BL8" s="428">
        <v>0</v>
      </c>
      <c r="BM8" s="428">
        <v>0</v>
      </c>
      <c r="BN8" s="428">
        <v>0</v>
      </c>
      <c r="BO8" s="428">
        <v>0</v>
      </c>
      <c r="BP8" s="428">
        <v>0</v>
      </c>
      <c r="BQ8" s="428">
        <v>0</v>
      </c>
      <c r="BR8" s="428">
        <v>0</v>
      </c>
      <c r="BS8" s="428">
        <v>0</v>
      </c>
      <c r="BT8" s="428">
        <v>0</v>
      </c>
      <c r="BU8" s="428">
        <v>0</v>
      </c>
      <c r="BV8" s="428">
        <v>0</v>
      </c>
      <c r="BW8" s="428">
        <v>0</v>
      </c>
      <c r="BX8" s="428">
        <v>0</v>
      </c>
      <c r="BY8" s="428">
        <v>0</v>
      </c>
      <c r="BZ8" s="428">
        <v>0</v>
      </c>
      <c r="CA8" s="428">
        <v>0</v>
      </c>
      <c r="CB8" s="428">
        <v>0</v>
      </c>
      <c r="CC8" s="428">
        <v>0</v>
      </c>
      <c r="CD8" s="428">
        <v>0</v>
      </c>
      <c r="CE8" s="428">
        <v>0</v>
      </c>
      <c r="CF8" s="428">
        <v>0</v>
      </c>
      <c r="CG8" s="428">
        <v>0</v>
      </c>
      <c r="CH8" s="428">
        <v>0</v>
      </c>
      <c r="CI8" s="428">
        <v>0</v>
      </c>
      <c r="CJ8" s="428">
        <v>0</v>
      </c>
      <c r="CK8" s="428">
        <v>4876</v>
      </c>
      <c r="CL8" s="428">
        <v>0</v>
      </c>
      <c r="CM8" s="428">
        <v>0</v>
      </c>
      <c r="CN8" s="428">
        <v>0</v>
      </c>
      <c r="CO8" s="428">
        <v>0</v>
      </c>
      <c r="CP8" s="428">
        <v>0</v>
      </c>
      <c r="CQ8" s="428">
        <v>0</v>
      </c>
      <c r="CR8" s="428">
        <v>0</v>
      </c>
      <c r="CS8" s="428">
        <v>0</v>
      </c>
      <c r="CT8" s="428">
        <v>0</v>
      </c>
      <c r="CU8" s="428">
        <v>0</v>
      </c>
      <c r="CV8" s="428">
        <v>0</v>
      </c>
      <c r="CW8" s="428">
        <v>0</v>
      </c>
      <c r="CX8" s="428">
        <v>0</v>
      </c>
      <c r="CY8" s="428">
        <v>0</v>
      </c>
      <c r="CZ8" s="428">
        <v>0</v>
      </c>
      <c r="DA8" s="428">
        <v>0</v>
      </c>
      <c r="DB8" s="428">
        <v>0</v>
      </c>
      <c r="DC8" s="428">
        <v>0</v>
      </c>
      <c r="DD8" s="428">
        <v>0</v>
      </c>
      <c r="DE8" s="428">
        <v>0</v>
      </c>
      <c r="DF8" s="428">
        <v>0</v>
      </c>
      <c r="DG8" s="428">
        <v>0</v>
      </c>
      <c r="DH8" s="428">
        <v>0</v>
      </c>
      <c r="DI8" s="428">
        <v>0</v>
      </c>
      <c r="DJ8" s="428">
        <v>0</v>
      </c>
      <c r="DK8" s="428">
        <v>0</v>
      </c>
      <c r="DL8" s="428">
        <v>0</v>
      </c>
      <c r="DM8" s="428">
        <v>0</v>
      </c>
      <c r="DN8" s="428">
        <v>0</v>
      </c>
      <c r="DO8" s="428">
        <v>0</v>
      </c>
      <c r="DP8" s="428">
        <v>0</v>
      </c>
      <c r="DQ8" s="428">
        <v>0</v>
      </c>
      <c r="DR8" s="428">
        <v>0</v>
      </c>
      <c r="DS8" s="428">
        <v>0</v>
      </c>
      <c r="DT8" s="428">
        <v>0</v>
      </c>
      <c r="DU8" s="428">
        <v>0</v>
      </c>
      <c r="DV8" s="428">
        <v>0</v>
      </c>
      <c r="ED8" s="135"/>
      <c r="EE8" s="357" t="s">
        <v>645</v>
      </c>
      <c r="EF8" s="426" t="s">
        <v>776</v>
      </c>
      <c r="EG8" s="426">
        <v>2</v>
      </c>
      <c r="EH8" s="426">
        <v>23</v>
      </c>
      <c r="EI8" s="208" t="str">
        <f t="shared" si="2"/>
        <v>CLX100223</v>
      </c>
      <c r="EJ8" s="426">
        <v>487.6</v>
      </c>
      <c r="EK8" s="426">
        <v>975.2</v>
      </c>
      <c r="EL8" s="426">
        <v>1462.8</v>
      </c>
      <c r="EM8" s="426">
        <v>1950.4</v>
      </c>
      <c r="EN8" s="426">
        <v>2438</v>
      </c>
      <c r="EO8" s="426">
        <v>2925.6</v>
      </c>
      <c r="EP8" s="426">
        <v>3413.2</v>
      </c>
      <c r="EQ8" s="426">
        <v>3900.8</v>
      </c>
      <c r="ER8" s="426">
        <v>4388.3999999999996</v>
      </c>
      <c r="ES8" s="426">
        <v>4876</v>
      </c>
      <c r="ET8" s="426">
        <v>4876</v>
      </c>
      <c r="EU8" s="426">
        <v>4876</v>
      </c>
      <c r="EV8" s="426">
        <v>4876</v>
      </c>
      <c r="EW8" s="426">
        <v>4876</v>
      </c>
      <c r="EX8" s="426">
        <v>4876</v>
      </c>
      <c r="EY8" s="426">
        <v>4876</v>
      </c>
      <c r="EZ8" s="426">
        <v>4876</v>
      </c>
      <c r="FA8" s="426">
        <v>4876</v>
      </c>
      <c r="FB8" s="426">
        <v>4876</v>
      </c>
      <c r="FC8" s="426">
        <v>4876</v>
      </c>
      <c r="FD8" s="426">
        <v>4876</v>
      </c>
      <c r="FE8" s="426">
        <v>4876</v>
      </c>
      <c r="FF8" s="426">
        <v>4876</v>
      </c>
      <c r="FG8" s="426">
        <v>4876</v>
      </c>
      <c r="FH8" s="426">
        <v>4876</v>
      </c>
      <c r="FI8" s="426">
        <v>4876</v>
      </c>
      <c r="FJ8" s="426">
        <v>4876</v>
      </c>
      <c r="FK8" s="426">
        <v>4876</v>
      </c>
      <c r="FL8" s="426">
        <v>4876</v>
      </c>
      <c r="FM8" s="426">
        <v>4876</v>
      </c>
      <c r="FN8" s="426">
        <v>4876</v>
      </c>
      <c r="FO8" s="426">
        <v>4876</v>
      </c>
      <c r="FP8" s="426">
        <v>4876</v>
      </c>
      <c r="FQ8" s="426">
        <v>4876</v>
      </c>
      <c r="FR8" s="426">
        <v>4876</v>
      </c>
      <c r="FS8" s="426">
        <v>4876</v>
      </c>
      <c r="FT8" s="426">
        <v>4876</v>
      </c>
      <c r="FU8" s="426">
        <v>4876</v>
      </c>
      <c r="FV8" s="426">
        <v>4876</v>
      </c>
      <c r="FW8" s="426">
        <v>4876</v>
      </c>
      <c r="FX8" s="426">
        <v>4876</v>
      </c>
      <c r="FY8" s="426">
        <v>4876</v>
      </c>
      <c r="FZ8" s="426">
        <v>4876</v>
      </c>
      <c r="GA8" s="426">
        <v>4876</v>
      </c>
      <c r="GB8" s="426">
        <v>4876</v>
      </c>
      <c r="GC8" s="426">
        <v>4876</v>
      </c>
      <c r="GD8" s="426">
        <v>4876</v>
      </c>
      <c r="GE8" s="426">
        <v>4876</v>
      </c>
      <c r="GF8" s="426">
        <v>4876</v>
      </c>
      <c r="GG8" s="426">
        <v>4876</v>
      </c>
      <c r="GH8" s="426">
        <v>4876</v>
      </c>
      <c r="GI8" s="426">
        <v>4876</v>
      </c>
      <c r="GJ8" s="426">
        <v>4876</v>
      </c>
      <c r="GK8" s="426">
        <v>4876</v>
      </c>
      <c r="GL8" s="426">
        <v>4876</v>
      </c>
      <c r="GM8" s="426">
        <v>4876</v>
      </c>
      <c r="GN8" s="426">
        <v>4876</v>
      </c>
      <c r="GO8" s="426">
        <v>4876</v>
      </c>
      <c r="GP8" s="426">
        <v>4876</v>
      </c>
      <c r="GQ8" s="426">
        <v>4876</v>
      </c>
      <c r="GR8" s="426">
        <v>4876</v>
      </c>
      <c r="GS8" s="426">
        <v>4876</v>
      </c>
      <c r="GT8" s="426">
        <v>4876</v>
      </c>
      <c r="GU8" s="426">
        <v>4876</v>
      </c>
      <c r="GV8" s="426">
        <v>4876</v>
      </c>
      <c r="GW8" s="426">
        <v>4876</v>
      </c>
      <c r="GX8" s="426">
        <v>4876</v>
      </c>
      <c r="GY8" s="426">
        <v>0</v>
      </c>
      <c r="GZ8" s="426">
        <v>0</v>
      </c>
      <c r="HA8" s="426">
        <v>0</v>
      </c>
      <c r="HB8" s="426">
        <v>0</v>
      </c>
      <c r="HC8" s="426">
        <v>0</v>
      </c>
      <c r="HD8" s="426">
        <v>0</v>
      </c>
      <c r="HE8" s="426">
        <v>0</v>
      </c>
      <c r="HF8" s="426">
        <v>0</v>
      </c>
      <c r="HG8" s="426">
        <v>0</v>
      </c>
      <c r="HH8" s="426">
        <v>0</v>
      </c>
      <c r="HI8" s="426">
        <v>0</v>
      </c>
      <c r="HJ8" s="426">
        <v>0</v>
      </c>
      <c r="HK8" s="426">
        <v>0</v>
      </c>
      <c r="HL8" s="426">
        <v>0</v>
      </c>
      <c r="HM8" s="426">
        <v>0</v>
      </c>
      <c r="HN8" s="426">
        <v>0</v>
      </c>
      <c r="HO8" s="426">
        <v>0</v>
      </c>
      <c r="HP8" s="426">
        <v>0</v>
      </c>
      <c r="HQ8" s="426">
        <v>0</v>
      </c>
      <c r="HR8" s="426">
        <v>0</v>
      </c>
      <c r="HS8" s="426">
        <v>0</v>
      </c>
      <c r="HT8" s="426">
        <v>0</v>
      </c>
      <c r="HU8" s="426">
        <v>0</v>
      </c>
      <c r="HV8" s="426">
        <v>0</v>
      </c>
      <c r="HW8" s="426">
        <v>0</v>
      </c>
      <c r="HX8" s="426">
        <v>0</v>
      </c>
      <c r="HY8" s="426">
        <v>0</v>
      </c>
      <c r="HZ8" s="426">
        <v>0</v>
      </c>
      <c r="IA8" s="426">
        <v>0</v>
      </c>
      <c r="IB8" s="426">
        <v>0</v>
      </c>
      <c r="IC8" s="426">
        <v>0</v>
      </c>
      <c r="ID8" s="426">
        <v>0</v>
      </c>
      <c r="IE8" s="426">
        <v>0</v>
      </c>
      <c r="IF8" s="426">
        <v>0</v>
      </c>
      <c r="IG8" s="426">
        <v>0</v>
      </c>
      <c r="IH8" s="426">
        <v>0</v>
      </c>
      <c r="II8" s="426">
        <v>0</v>
      </c>
      <c r="IJ8" s="426">
        <v>0</v>
      </c>
      <c r="IK8" s="426">
        <v>0</v>
      </c>
      <c r="IL8" s="426">
        <v>0</v>
      </c>
      <c r="IM8" s="426">
        <v>0</v>
      </c>
      <c r="IN8" s="426">
        <v>0</v>
      </c>
      <c r="IO8" s="426">
        <v>0</v>
      </c>
      <c r="IP8" s="426">
        <v>0</v>
      </c>
    </row>
    <row r="9" spans="1:250" ht="15">
      <c r="A9" s="357" t="s">
        <v>645</v>
      </c>
      <c r="B9" s="427" t="s">
        <v>776</v>
      </c>
      <c r="C9" s="427"/>
      <c r="D9" s="427"/>
      <c r="E9" s="427"/>
      <c r="F9" s="427">
        <v>2</v>
      </c>
      <c r="G9" s="427"/>
      <c r="H9" s="427">
        <v>24</v>
      </c>
      <c r="I9" s="427"/>
      <c r="J9" t="str">
        <f t="shared" si="0"/>
        <v>CLX100224</v>
      </c>
      <c r="K9" s="427">
        <v>465</v>
      </c>
      <c r="R9" s="357" t="s">
        <v>645</v>
      </c>
      <c r="S9" s="428" t="s">
        <v>776</v>
      </c>
      <c r="T9" s="428">
        <v>2</v>
      </c>
      <c r="U9" s="428">
        <v>24</v>
      </c>
      <c r="V9" s="208" t="str">
        <f t="shared" si="1"/>
        <v>CLX100224</v>
      </c>
      <c r="W9" s="428">
        <v>0</v>
      </c>
      <c r="X9" s="428">
        <v>0</v>
      </c>
      <c r="Y9" s="428">
        <v>0</v>
      </c>
      <c r="Z9" s="428">
        <v>0</v>
      </c>
      <c r="AA9" s="428">
        <v>0</v>
      </c>
      <c r="AB9" s="428">
        <v>0</v>
      </c>
      <c r="AC9" s="428">
        <v>0</v>
      </c>
      <c r="AD9" s="428">
        <v>0</v>
      </c>
      <c r="AE9" s="428">
        <v>0</v>
      </c>
      <c r="AF9" s="428">
        <v>0</v>
      </c>
      <c r="AG9" s="428">
        <v>0</v>
      </c>
      <c r="AH9" s="428">
        <v>0</v>
      </c>
      <c r="AI9" s="428">
        <v>0</v>
      </c>
      <c r="AJ9" s="428">
        <v>0</v>
      </c>
      <c r="AK9" s="428">
        <v>0</v>
      </c>
      <c r="AL9" s="428">
        <v>0</v>
      </c>
      <c r="AM9" s="428">
        <v>0</v>
      </c>
      <c r="AN9" s="428">
        <v>0</v>
      </c>
      <c r="AO9" s="428">
        <v>0</v>
      </c>
      <c r="AP9" s="428">
        <v>0</v>
      </c>
      <c r="AQ9" s="428">
        <v>0</v>
      </c>
      <c r="AR9" s="428">
        <v>0</v>
      </c>
      <c r="AS9" s="428">
        <v>0</v>
      </c>
      <c r="AT9" s="428">
        <v>0</v>
      </c>
      <c r="AU9" s="428">
        <v>0</v>
      </c>
      <c r="AV9" s="428">
        <v>0</v>
      </c>
      <c r="AW9" s="428">
        <v>0</v>
      </c>
      <c r="AX9" s="428">
        <v>0</v>
      </c>
      <c r="AY9" s="428">
        <v>0</v>
      </c>
      <c r="AZ9" s="428">
        <v>0</v>
      </c>
      <c r="BA9" s="428">
        <v>0</v>
      </c>
      <c r="BB9" s="428">
        <v>0</v>
      </c>
      <c r="BC9" s="428">
        <v>0</v>
      </c>
      <c r="BD9" s="428">
        <v>0</v>
      </c>
      <c r="BE9" s="428">
        <v>0</v>
      </c>
      <c r="BF9" s="428">
        <v>0</v>
      </c>
      <c r="BG9" s="428">
        <v>0</v>
      </c>
      <c r="BH9" s="428">
        <v>0</v>
      </c>
      <c r="BI9" s="428">
        <v>0</v>
      </c>
      <c r="BJ9" s="428">
        <v>0</v>
      </c>
      <c r="BK9" s="428">
        <v>0</v>
      </c>
      <c r="BL9" s="428">
        <v>0</v>
      </c>
      <c r="BM9" s="428">
        <v>0</v>
      </c>
      <c r="BN9" s="428">
        <v>0</v>
      </c>
      <c r="BO9" s="428">
        <v>0</v>
      </c>
      <c r="BP9" s="428">
        <v>0</v>
      </c>
      <c r="BQ9" s="428">
        <v>0</v>
      </c>
      <c r="BR9" s="428">
        <v>0</v>
      </c>
      <c r="BS9" s="428">
        <v>0</v>
      </c>
      <c r="BT9" s="428">
        <v>0</v>
      </c>
      <c r="BU9" s="428">
        <v>0</v>
      </c>
      <c r="BV9" s="428">
        <v>0</v>
      </c>
      <c r="BW9" s="428">
        <v>0</v>
      </c>
      <c r="BX9" s="428">
        <v>0</v>
      </c>
      <c r="BY9" s="428">
        <v>0</v>
      </c>
      <c r="BZ9" s="428">
        <v>0</v>
      </c>
      <c r="CA9" s="428">
        <v>0</v>
      </c>
      <c r="CB9" s="428">
        <v>0</v>
      </c>
      <c r="CC9" s="428">
        <v>0</v>
      </c>
      <c r="CD9" s="428">
        <v>0</v>
      </c>
      <c r="CE9" s="428">
        <v>0</v>
      </c>
      <c r="CF9" s="428">
        <v>0</v>
      </c>
      <c r="CG9" s="428">
        <v>0</v>
      </c>
      <c r="CH9" s="428">
        <v>0</v>
      </c>
      <c r="CI9" s="428">
        <v>0</v>
      </c>
      <c r="CJ9" s="428">
        <v>4929</v>
      </c>
      <c r="CK9" s="428">
        <v>0</v>
      </c>
      <c r="CL9" s="428">
        <v>0</v>
      </c>
      <c r="CM9" s="428">
        <v>0</v>
      </c>
      <c r="CN9" s="428">
        <v>0</v>
      </c>
      <c r="CO9" s="428">
        <v>0</v>
      </c>
      <c r="CP9" s="428">
        <v>0</v>
      </c>
      <c r="CQ9" s="428">
        <v>0</v>
      </c>
      <c r="CR9" s="428">
        <v>0</v>
      </c>
      <c r="CS9" s="428">
        <v>0</v>
      </c>
      <c r="CT9" s="428">
        <v>0</v>
      </c>
      <c r="CU9" s="428">
        <v>0</v>
      </c>
      <c r="CV9" s="428">
        <v>0</v>
      </c>
      <c r="CW9" s="428">
        <v>0</v>
      </c>
      <c r="CX9" s="428">
        <v>0</v>
      </c>
      <c r="CY9" s="428">
        <v>0</v>
      </c>
      <c r="CZ9" s="428">
        <v>0</v>
      </c>
      <c r="DA9" s="428">
        <v>0</v>
      </c>
      <c r="DB9" s="428">
        <v>0</v>
      </c>
      <c r="DC9" s="428">
        <v>0</v>
      </c>
      <c r="DD9" s="428">
        <v>0</v>
      </c>
      <c r="DE9" s="428">
        <v>0</v>
      </c>
      <c r="DF9" s="428">
        <v>0</v>
      </c>
      <c r="DG9" s="428">
        <v>0</v>
      </c>
      <c r="DH9" s="428">
        <v>0</v>
      </c>
      <c r="DI9" s="428">
        <v>0</v>
      </c>
      <c r="DJ9" s="428">
        <v>0</v>
      </c>
      <c r="DK9" s="428">
        <v>0</v>
      </c>
      <c r="DL9" s="428">
        <v>0</v>
      </c>
      <c r="DM9" s="428">
        <v>0</v>
      </c>
      <c r="DN9" s="428">
        <v>0</v>
      </c>
      <c r="DO9" s="428">
        <v>0</v>
      </c>
      <c r="DP9" s="428">
        <v>0</v>
      </c>
      <c r="DQ9" s="428">
        <v>0</v>
      </c>
      <c r="DR9" s="428">
        <v>0</v>
      </c>
      <c r="DS9" s="428">
        <v>0</v>
      </c>
      <c r="DT9" s="428">
        <v>0</v>
      </c>
      <c r="DU9" s="428">
        <v>0</v>
      </c>
      <c r="DV9" s="428">
        <v>0</v>
      </c>
      <c r="ED9" s="135"/>
      <c r="EE9" s="357" t="s">
        <v>645</v>
      </c>
      <c r="EF9" s="426" t="s">
        <v>776</v>
      </c>
      <c r="EG9" s="426">
        <v>2</v>
      </c>
      <c r="EH9" s="426">
        <v>24</v>
      </c>
      <c r="EI9" s="208" t="str">
        <f t="shared" si="2"/>
        <v>CLX100224</v>
      </c>
      <c r="EJ9" s="426">
        <v>492.9</v>
      </c>
      <c r="EK9" s="426">
        <v>985.8</v>
      </c>
      <c r="EL9" s="426">
        <v>1478.7</v>
      </c>
      <c r="EM9" s="426">
        <v>1971.6</v>
      </c>
      <c r="EN9" s="426">
        <v>2464.5</v>
      </c>
      <c r="EO9" s="426">
        <v>2957.4</v>
      </c>
      <c r="EP9" s="426">
        <v>3450.3</v>
      </c>
      <c r="EQ9" s="426">
        <v>3943.2</v>
      </c>
      <c r="ER9" s="426">
        <v>4436.1000000000004</v>
      </c>
      <c r="ES9" s="426">
        <v>4929</v>
      </c>
      <c r="ET9" s="426">
        <v>4929</v>
      </c>
      <c r="EU9" s="426">
        <v>4929</v>
      </c>
      <c r="EV9" s="426">
        <v>4929</v>
      </c>
      <c r="EW9" s="426">
        <v>4929</v>
      </c>
      <c r="EX9" s="426">
        <v>4929</v>
      </c>
      <c r="EY9" s="426">
        <v>4929</v>
      </c>
      <c r="EZ9" s="426">
        <v>4929</v>
      </c>
      <c r="FA9" s="426">
        <v>4929</v>
      </c>
      <c r="FB9" s="426">
        <v>4929</v>
      </c>
      <c r="FC9" s="426">
        <v>4929</v>
      </c>
      <c r="FD9" s="426">
        <v>4929</v>
      </c>
      <c r="FE9" s="426">
        <v>4929</v>
      </c>
      <c r="FF9" s="426">
        <v>4929</v>
      </c>
      <c r="FG9" s="426">
        <v>4929</v>
      </c>
      <c r="FH9" s="426">
        <v>4929</v>
      </c>
      <c r="FI9" s="426">
        <v>4929</v>
      </c>
      <c r="FJ9" s="426">
        <v>4929</v>
      </c>
      <c r="FK9" s="426">
        <v>4929</v>
      </c>
      <c r="FL9" s="426">
        <v>4929</v>
      </c>
      <c r="FM9" s="426">
        <v>4929</v>
      </c>
      <c r="FN9" s="426">
        <v>4929</v>
      </c>
      <c r="FO9" s="426">
        <v>4929</v>
      </c>
      <c r="FP9" s="426">
        <v>4929</v>
      </c>
      <c r="FQ9" s="426">
        <v>4929</v>
      </c>
      <c r="FR9" s="426">
        <v>4929</v>
      </c>
      <c r="FS9" s="426">
        <v>4929</v>
      </c>
      <c r="FT9" s="426">
        <v>4929</v>
      </c>
      <c r="FU9" s="426">
        <v>4929</v>
      </c>
      <c r="FV9" s="426">
        <v>4929</v>
      </c>
      <c r="FW9" s="426">
        <v>4929</v>
      </c>
      <c r="FX9" s="426">
        <v>4929</v>
      </c>
      <c r="FY9" s="426">
        <v>4929</v>
      </c>
      <c r="FZ9" s="426">
        <v>4929</v>
      </c>
      <c r="GA9" s="426">
        <v>4929</v>
      </c>
      <c r="GB9" s="426">
        <v>4929</v>
      </c>
      <c r="GC9" s="426">
        <v>4929</v>
      </c>
      <c r="GD9" s="426">
        <v>4929</v>
      </c>
      <c r="GE9" s="426">
        <v>4929</v>
      </c>
      <c r="GF9" s="426">
        <v>4929</v>
      </c>
      <c r="GG9" s="426">
        <v>4929</v>
      </c>
      <c r="GH9" s="426">
        <v>4929</v>
      </c>
      <c r="GI9" s="426">
        <v>4929</v>
      </c>
      <c r="GJ9" s="426">
        <v>4929</v>
      </c>
      <c r="GK9" s="426">
        <v>4929</v>
      </c>
      <c r="GL9" s="426">
        <v>4929</v>
      </c>
      <c r="GM9" s="426">
        <v>4929</v>
      </c>
      <c r="GN9" s="426">
        <v>4929</v>
      </c>
      <c r="GO9" s="426">
        <v>4929</v>
      </c>
      <c r="GP9" s="426">
        <v>4929</v>
      </c>
      <c r="GQ9" s="426">
        <v>4929</v>
      </c>
      <c r="GR9" s="426">
        <v>4929</v>
      </c>
      <c r="GS9" s="426">
        <v>4929</v>
      </c>
      <c r="GT9" s="426">
        <v>4929</v>
      </c>
      <c r="GU9" s="426">
        <v>4929</v>
      </c>
      <c r="GV9" s="426">
        <v>4929</v>
      </c>
      <c r="GW9" s="426">
        <v>4929</v>
      </c>
      <c r="GX9" s="426">
        <v>0</v>
      </c>
      <c r="GY9" s="426">
        <v>0</v>
      </c>
      <c r="GZ9" s="426">
        <v>0</v>
      </c>
      <c r="HA9" s="426">
        <v>0</v>
      </c>
      <c r="HB9" s="426">
        <v>0</v>
      </c>
      <c r="HC9" s="426">
        <v>0</v>
      </c>
      <c r="HD9" s="426">
        <v>0</v>
      </c>
      <c r="HE9" s="426">
        <v>0</v>
      </c>
      <c r="HF9" s="426">
        <v>0</v>
      </c>
      <c r="HG9" s="426">
        <v>0</v>
      </c>
      <c r="HH9" s="426">
        <v>0</v>
      </c>
      <c r="HI9" s="426">
        <v>0</v>
      </c>
      <c r="HJ9" s="426">
        <v>0</v>
      </c>
      <c r="HK9" s="426">
        <v>0</v>
      </c>
      <c r="HL9" s="426">
        <v>0</v>
      </c>
      <c r="HM9" s="426">
        <v>0</v>
      </c>
      <c r="HN9" s="426">
        <v>0</v>
      </c>
      <c r="HO9" s="426">
        <v>0</v>
      </c>
      <c r="HP9" s="426">
        <v>0</v>
      </c>
      <c r="HQ9" s="426">
        <v>0</v>
      </c>
      <c r="HR9" s="426">
        <v>0</v>
      </c>
      <c r="HS9" s="426">
        <v>0</v>
      </c>
      <c r="HT9" s="426">
        <v>0</v>
      </c>
      <c r="HU9" s="426">
        <v>0</v>
      </c>
      <c r="HV9" s="426">
        <v>0</v>
      </c>
      <c r="HW9" s="426">
        <v>0</v>
      </c>
      <c r="HX9" s="426">
        <v>0</v>
      </c>
      <c r="HY9" s="426">
        <v>0</v>
      </c>
      <c r="HZ9" s="426">
        <v>0</v>
      </c>
      <c r="IA9" s="426">
        <v>0</v>
      </c>
      <c r="IB9" s="426">
        <v>0</v>
      </c>
      <c r="IC9" s="426">
        <v>0</v>
      </c>
      <c r="ID9" s="426">
        <v>0</v>
      </c>
      <c r="IE9" s="426">
        <v>0</v>
      </c>
      <c r="IF9" s="426">
        <v>0</v>
      </c>
      <c r="IG9" s="426">
        <v>0</v>
      </c>
      <c r="IH9" s="426">
        <v>0</v>
      </c>
      <c r="II9" s="426">
        <v>0</v>
      </c>
      <c r="IJ9" s="426">
        <v>0</v>
      </c>
      <c r="IK9" s="426">
        <v>0</v>
      </c>
      <c r="IL9" s="426">
        <v>0</v>
      </c>
      <c r="IM9" s="426">
        <v>0</v>
      </c>
      <c r="IN9" s="426">
        <v>0</v>
      </c>
      <c r="IO9" s="426">
        <v>0</v>
      </c>
      <c r="IP9" s="426">
        <v>0</v>
      </c>
    </row>
    <row r="10" spans="1:250" ht="15">
      <c r="A10" s="357" t="s">
        <v>645</v>
      </c>
      <c r="B10" s="427" t="s">
        <v>776</v>
      </c>
      <c r="C10" s="427"/>
      <c r="D10" s="427"/>
      <c r="E10" s="427"/>
      <c r="F10" s="427">
        <v>2</v>
      </c>
      <c r="G10" s="427"/>
      <c r="H10" s="427">
        <v>25</v>
      </c>
      <c r="I10" s="427"/>
      <c r="J10" t="str">
        <f t="shared" si="0"/>
        <v>CLX100225</v>
      </c>
      <c r="K10" s="427">
        <v>470</v>
      </c>
      <c r="R10" s="357" t="s">
        <v>645</v>
      </c>
      <c r="S10" s="428" t="s">
        <v>776</v>
      </c>
      <c r="T10" s="428">
        <v>2</v>
      </c>
      <c r="U10" s="428">
        <v>25</v>
      </c>
      <c r="V10" s="208" t="str">
        <f t="shared" si="1"/>
        <v>CLX100225</v>
      </c>
      <c r="W10" s="428">
        <v>0</v>
      </c>
      <c r="X10" s="428">
        <v>0</v>
      </c>
      <c r="Y10" s="428">
        <v>0</v>
      </c>
      <c r="Z10" s="428">
        <v>0</v>
      </c>
      <c r="AA10" s="428">
        <v>0</v>
      </c>
      <c r="AB10" s="428">
        <v>0</v>
      </c>
      <c r="AC10" s="428">
        <v>0</v>
      </c>
      <c r="AD10" s="428">
        <v>0</v>
      </c>
      <c r="AE10" s="428">
        <v>0</v>
      </c>
      <c r="AF10" s="428">
        <v>0</v>
      </c>
      <c r="AG10" s="428">
        <v>0</v>
      </c>
      <c r="AH10" s="428">
        <v>0</v>
      </c>
      <c r="AI10" s="428">
        <v>0</v>
      </c>
      <c r="AJ10" s="428">
        <v>0</v>
      </c>
      <c r="AK10" s="428">
        <v>0</v>
      </c>
      <c r="AL10" s="428">
        <v>0</v>
      </c>
      <c r="AM10" s="428">
        <v>0</v>
      </c>
      <c r="AN10" s="428">
        <v>0</v>
      </c>
      <c r="AO10" s="428">
        <v>0</v>
      </c>
      <c r="AP10" s="428">
        <v>0</v>
      </c>
      <c r="AQ10" s="428">
        <v>0</v>
      </c>
      <c r="AR10" s="428">
        <v>0</v>
      </c>
      <c r="AS10" s="428">
        <v>0</v>
      </c>
      <c r="AT10" s="428">
        <v>0</v>
      </c>
      <c r="AU10" s="428">
        <v>0</v>
      </c>
      <c r="AV10" s="428">
        <v>0</v>
      </c>
      <c r="AW10" s="428">
        <v>0</v>
      </c>
      <c r="AX10" s="428">
        <v>0</v>
      </c>
      <c r="AY10" s="428">
        <v>0</v>
      </c>
      <c r="AZ10" s="428">
        <v>0</v>
      </c>
      <c r="BA10" s="428">
        <v>0</v>
      </c>
      <c r="BB10" s="428">
        <v>0</v>
      </c>
      <c r="BC10" s="428">
        <v>0</v>
      </c>
      <c r="BD10" s="428">
        <v>0</v>
      </c>
      <c r="BE10" s="428">
        <v>0</v>
      </c>
      <c r="BF10" s="428">
        <v>0</v>
      </c>
      <c r="BG10" s="428">
        <v>0</v>
      </c>
      <c r="BH10" s="428">
        <v>0</v>
      </c>
      <c r="BI10" s="428">
        <v>0</v>
      </c>
      <c r="BJ10" s="428">
        <v>0</v>
      </c>
      <c r="BK10" s="428">
        <v>0</v>
      </c>
      <c r="BL10" s="428">
        <v>0</v>
      </c>
      <c r="BM10" s="428">
        <v>0</v>
      </c>
      <c r="BN10" s="428">
        <v>0</v>
      </c>
      <c r="BO10" s="428">
        <v>0</v>
      </c>
      <c r="BP10" s="428">
        <v>0</v>
      </c>
      <c r="BQ10" s="428">
        <v>0</v>
      </c>
      <c r="BR10" s="428">
        <v>0</v>
      </c>
      <c r="BS10" s="428">
        <v>0</v>
      </c>
      <c r="BT10" s="428">
        <v>0</v>
      </c>
      <c r="BU10" s="428">
        <v>0</v>
      </c>
      <c r="BV10" s="428">
        <v>0</v>
      </c>
      <c r="BW10" s="428">
        <v>0</v>
      </c>
      <c r="BX10" s="428">
        <v>0</v>
      </c>
      <c r="BY10" s="428">
        <v>0</v>
      </c>
      <c r="BZ10" s="428">
        <v>0</v>
      </c>
      <c r="CA10" s="428">
        <v>0</v>
      </c>
      <c r="CB10" s="428">
        <v>0</v>
      </c>
      <c r="CC10" s="428">
        <v>0</v>
      </c>
      <c r="CD10" s="428">
        <v>0</v>
      </c>
      <c r="CE10" s="428">
        <v>0</v>
      </c>
      <c r="CF10" s="428">
        <v>0</v>
      </c>
      <c r="CG10" s="428">
        <v>0</v>
      </c>
      <c r="CH10" s="428">
        <v>0</v>
      </c>
      <c r="CI10" s="428">
        <v>4982</v>
      </c>
      <c r="CJ10" s="428">
        <v>0</v>
      </c>
      <c r="CK10" s="428">
        <v>0</v>
      </c>
      <c r="CL10" s="428">
        <v>0</v>
      </c>
      <c r="CM10" s="428">
        <v>0</v>
      </c>
      <c r="CN10" s="428">
        <v>0</v>
      </c>
      <c r="CO10" s="428">
        <v>0</v>
      </c>
      <c r="CP10" s="428">
        <v>0</v>
      </c>
      <c r="CQ10" s="428">
        <v>0</v>
      </c>
      <c r="CR10" s="428">
        <v>0</v>
      </c>
      <c r="CS10" s="428">
        <v>0</v>
      </c>
      <c r="CT10" s="428">
        <v>0</v>
      </c>
      <c r="CU10" s="428">
        <v>0</v>
      </c>
      <c r="CV10" s="428">
        <v>0</v>
      </c>
      <c r="CW10" s="428">
        <v>0</v>
      </c>
      <c r="CX10" s="428">
        <v>0</v>
      </c>
      <c r="CY10" s="428">
        <v>0</v>
      </c>
      <c r="CZ10" s="428">
        <v>0</v>
      </c>
      <c r="DA10" s="428">
        <v>0</v>
      </c>
      <c r="DB10" s="428">
        <v>0</v>
      </c>
      <c r="DC10" s="428">
        <v>0</v>
      </c>
      <c r="DD10" s="428">
        <v>0</v>
      </c>
      <c r="DE10" s="428">
        <v>0</v>
      </c>
      <c r="DF10" s="428">
        <v>0</v>
      </c>
      <c r="DG10" s="428">
        <v>0</v>
      </c>
      <c r="DH10" s="428">
        <v>0</v>
      </c>
      <c r="DI10" s="428">
        <v>0</v>
      </c>
      <c r="DJ10" s="428">
        <v>0</v>
      </c>
      <c r="DK10" s="428">
        <v>0</v>
      </c>
      <c r="DL10" s="428">
        <v>0</v>
      </c>
      <c r="DM10" s="428">
        <v>0</v>
      </c>
      <c r="DN10" s="428">
        <v>0</v>
      </c>
      <c r="DO10" s="428">
        <v>0</v>
      </c>
      <c r="DP10" s="428">
        <v>0</v>
      </c>
      <c r="DQ10" s="428">
        <v>0</v>
      </c>
      <c r="DR10" s="428">
        <v>0</v>
      </c>
      <c r="DS10" s="428">
        <v>0</v>
      </c>
      <c r="DT10" s="428">
        <v>0</v>
      </c>
      <c r="DU10" s="428">
        <v>0</v>
      </c>
      <c r="DV10" s="428">
        <v>0</v>
      </c>
      <c r="ED10" s="135"/>
      <c r="EE10" s="357" t="s">
        <v>645</v>
      </c>
      <c r="EF10" s="426" t="s">
        <v>776</v>
      </c>
      <c r="EG10" s="426">
        <v>2</v>
      </c>
      <c r="EH10" s="426">
        <v>25</v>
      </c>
      <c r="EI10" s="208" t="str">
        <f t="shared" si="2"/>
        <v>CLX100225</v>
      </c>
      <c r="EJ10" s="426">
        <v>498.2</v>
      </c>
      <c r="EK10" s="426">
        <v>996.4</v>
      </c>
      <c r="EL10" s="426">
        <v>1494.6</v>
      </c>
      <c r="EM10" s="426">
        <v>1992.8</v>
      </c>
      <c r="EN10" s="426">
        <v>2491</v>
      </c>
      <c r="EO10" s="426">
        <v>2989.2</v>
      </c>
      <c r="EP10" s="426">
        <v>3487.4</v>
      </c>
      <c r="EQ10" s="426">
        <v>3985.6</v>
      </c>
      <c r="ER10" s="426">
        <v>4483.8</v>
      </c>
      <c r="ES10" s="426">
        <v>4982</v>
      </c>
      <c r="ET10" s="426">
        <v>4982</v>
      </c>
      <c r="EU10" s="426">
        <v>4982</v>
      </c>
      <c r="EV10" s="426">
        <v>4982</v>
      </c>
      <c r="EW10" s="426">
        <v>4982</v>
      </c>
      <c r="EX10" s="426">
        <v>4982</v>
      </c>
      <c r="EY10" s="426">
        <v>4982</v>
      </c>
      <c r="EZ10" s="426">
        <v>4982</v>
      </c>
      <c r="FA10" s="426">
        <v>4982</v>
      </c>
      <c r="FB10" s="426">
        <v>4982</v>
      </c>
      <c r="FC10" s="426">
        <v>4982</v>
      </c>
      <c r="FD10" s="426">
        <v>4982</v>
      </c>
      <c r="FE10" s="426">
        <v>4982</v>
      </c>
      <c r="FF10" s="426">
        <v>4982</v>
      </c>
      <c r="FG10" s="426">
        <v>4982</v>
      </c>
      <c r="FH10" s="426">
        <v>4982</v>
      </c>
      <c r="FI10" s="426">
        <v>4982</v>
      </c>
      <c r="FJ10" s="426">
        <v>4982</v>
      </c>
      <c r="FK10" s="426">
        <v>4982</v>
      </c>
      <c r="FL10" s="426">
        <v>4982</v>
      </c>
      <c r="FM10" s="426">
        <v>4982</v>
      </c>
      <c r="FN10" s="426">
        <v>4982</v>
      </c>
      <c r="FO10" s="426">
        <v>4982</v>
      </c>
      <c r="FP10" s="426">
        <v>4982</v>
      </c>
      <c r="FQ10" s="426">
        <v>4982</v>
      </c>
      <c r="FR10" s="426">
        <v>4982</v>
      </c>
      <c r="FS10" s="426">
        <v>4982</v>
      </c>
      <c r="FT10" s="426">
        <v>4982</v>
      </c>
      <c r="FU10" s="426">
        <v>4982</v>
      </c>
      <c r="FV10" s="426">
        <v>4982</v>
      </c>
      <c r="FW10" s="426">
        <v>4982</v>
      </c>
      <c r="FX10" s="426">
        <v>4982</v>
      </c>
      <c r="FY10" s="426">
        <v>4982</v>
      </c>
      <c r="FZ10" s="426">
        <v>4982</v>
      </c>
      <c r="GA10" s="426">
        <v>4982</v>
      </c>
      <c r="GB10" s="426">
        <v>4982</v>
      </c>
      <c r="GC10" s="426">
        <v>4982</v>
      </c>
      <c r="GD10" s="426">
        <v>4982</v>
      </c>
      <c r="GE10" s="426">
        <v>4982</v>
      </c>
      <c r="GF10" s="426">
        <v>4982</v>
      </c>
      <c r="GG10" s="426">
        <v>4982</v>
      </c>
      <c r="GH10" s="426">
        <v>4982</v>
      </c>
      <c r="GI10" s="426">
        <v>4982</v>
      </c>
      <c r="GJ10" s="426">
        <v>4982</v>
      </c>
      <c r="GK10" s="426">
        <v>4982</v>
      </c>
      <c r="GL10" s="426">
        <v>4982</v>
      </c>
      <c r="GM10" s="426">
        <v>4982</v>
      </c>
      <c r="GN10" s="426">
        <v>4982</v>
      </c>
      <c r="GO10" s="426">
        <v>4982</v>
      </c>
      <c r="GP10" s="426">
        <v>4982</v>
      </c>
      <c r="GQ10" s="426">
        <v>4982</v>
      </c>
      <c r="GR10" s="426">
        <v>4982</v>
      </c>
      <c r="GS10" s="426">
        <v>4982</v>
      </c>
      <c r="GT10" s="426">
        <v>4982</v>
      </c>
      <c r="GU10" s="426">
        <v>4982</v>
      </c>
      <c r="GV10" s="426">
        <v>4982</v>
      </c>
      <c r="GW10" s="426">
        <v>0</v>
      </c>
      <c r="GX10" s="426">
        <v>0</v>
      </c>
      <c r="GY10" s="426">
        <v>0</v>
      </c>
      <c r="GZ10" s="426">
        <v>0</v>
      </c>
      <c r="HA10" s="426">
        <v>0</v>
      </c>
      <c r="HB10" s="426">
        <v>0</v>
      </c>
      <c r="HC10" s="426">
        <v>0</v>
      </c>
      <c r="HD10" s="426">
        <v>0</v>
      </c>
      <c r="HE10" s="426">
        <v>0</v>
      </c>
      <c r="HF10" s="426">
        <v>0</v>
      </c>
      <c r="HG10" s="426">
        <v>0</v>
      </c>
      <c r="HH10" s="426">
        <v>0</v>
      </c>
      <c r="HI10" s="426">
        <v>0</v>
      </c>
      <c r="HJ10" s="426">
        <v>0</v>
      </c>
      <c r="HK10" s="426">
        <v>0</v>
      </c>
      <c r="HL10" s="426">
        <v>0</v>
      </c>
      <c r="HM10" s="426">
        <v>0</v>
      </c>
      <c r="HN10" s="426">
        <v>0</v>
      </c>
      <c r="HO10" s="426">
        <v>0</v>
      </c>
      <c r="HP10" s="426">
        <v>0</v>
      </c>
      <c r="HQ10" s="426">
        <v>0</v>
      </c>
      <c r="HR10" s="426">
        <v>0</v>
      </c>
      <c r="HS10" s="426">
        <v>0</v>
      </c>
      <c r="HT10" s="426">
        <v>0</v>
      </c>
      <c r="HU10" s="426">
        <v>0</v>
      </c>
      <c r="HV10" s="426">
        <v>0</v>
      </c>
      <c r="HW10" s="426">
        <v>0</v>
      </c>
      <c r="HX10" s="426">
        <v>0</v>
      </c>
      <c r="HY10" s="426">
        <v>0</v>
      </c>
      <c r="HZ10" s="426">
        <v>0</v>
      </c>
      <c r="IA10" s="426">
        <v>0</v>
      </c>
      <c r="IB10" s="426">
        <v>0</v>
      </c>
      <c r="IC10" s="426">
        <v>0</v>
      </c>
      <c r="ID10" s="426">
        <v>0</v>
      </c>
      <c r="IE10" s="426">
        <v>0</v>
      </c>
      <c r="IF10" s="426">
        <v>0</v>
      </c>
      <c r="IG10" s="426">
        <v>0</v>
      </c>
      <c r="IH10" s="426">
        <v>0</v>
      </c>
      <c r="II10" s="426">
        <v>0</v>
      </c>
      <c r="IJ10" s="426">
        <v>0</v>
      </c>
      <c r="IK10" s="426">
        <v>0</v>
      </c>
      <c r="IL10" s="426">
        <v>0</v>
      </c>
      <c r="IM10" s="426">
        <v>0</v>
      </c>
      <c r="IN10" s="426">
        <v>0</v>
      </c>
      <c r="IO10" s="426">
        <v>0</v>
      </c>
      <c r="IP10" s="426">
        <v>0</v>
      </c>
    </row>
    <row r="11" spans="1:250" ht="15">
      <c r="A11" s="357" t="s">
        <v>645</v>
      </c>
      <c r="B11" s="427" t="s">
        <v>776</v>
      </c>
      <c r="C11" s="427"/>
      <c r="D11" s="427"/>
      <c r="E11" s="427"/>
      <c r="F11" s="427">
        <v>2</v>
      </c>
      <c r="G11" s="427"/>
      <c r="H11" s="427">
        <v>26</v>
      </c>
      <c r="I11" s="427"/>
      <c r="J11" t="str">
        <f t="shared" si="0"/>
        <v>CLX100226</v>
      </c>
      <c r="K11" s="427">
        <v>480</v>
      </c>
      <c r="R11" s="357" t="s">
        <v>645</v>
      </c>
      <c r="S11" s="428" t="s">
        <v>776</v>
      </c>
      <c r="T11" s="428">
        <v>2</v>
      </c>
      <c r="U11" s="428">
        <v>26</v>
      </c>
      <c r="V11" s="208" t="str">
        <f t="shared" si="1"/>
        <v>CLX100226</v>
      </c>
      <c r="W11" s="428">
        <v>0</v>
      </c>
      <c r="X11" s="428">
        <v>0</v>
      </c>
      <c r="Y11" s="428">
        <v>0</v>
      </c>
      <c r="Z11" s="428">
        <v>0</v>
      </c>
      <c r="AA11" s="428">
        <v>0</v>
      </c>
      <c r="AB11" s="428">
        <v>0</v>
      </c>
      <c r="AC11" s="428">
        <v>0</v>
      </c>
      <c r="AD11" s="428">
        <v>0</v>
      </c>
      <c r="AE11" s="428">
        <v>0</v>
      </c>
      <c r="AF11" s="428">
        <v>0</v>
      </c>
      <c r="AG11" s="428">
        <v>0</v>
      </c>
      <c r="AH11" s="428">
        <v>0</v>
      </c>
      <c r="AI11" s="428">
        <v>0</v>
      </c>
      <c r="AJ11" s="428">
        <v>0</v>
      </c>
      <c r="AK11" s="428">
        <v>0</v>
      </c>
      <c r="AL11" s="428">
        <v>0</v>
      </c>
      <c r="AM11" s="428">
        <v>0</v>
      </c>
      <c r="AN11" s="428">
        <v>0</v>
      </c>
      <c r="AO11" s="428">
        <v>0</v>
      </c>
      <c r="AP11" s="428">
        <v>0</v>
      </c>
      <c r="AQ11" s="428">
        <v>0</v>
      </c>
      <c r="AR11" s="428">
        <v>0</v>
      </c>
      <c r="AS11" s="428">
        <v>0</v>
      </c>
      <c r="AT11" s="428">
        <v>0</v>
      </c>
      <c r="AU11" s="428">
        <v>0</v>
      </c>
      <c r="AV11" s="428">
        <v>0</v>
      </c>
      <c r="AW11" s="428">
        <v>0</v>
      </c>
      <c r="AX11" s="428">
        <v>0</v>
      </c>
      <c r="AY11" s="428">
        <v>0</v>
      </c>
      <c r="AZ11" s="428">
        <v>0</v>
      </c>
      <c r="BA11" s="428">
        <v>0</v>
      </c>
      <c r="BB11" s="428">
        <v>0</v>
      </c>
      <c r="BC11" s="428">
        <v>0</v>
      </c>
      <c r="BD11" s="428">
        <v>0</v>
      </c>
      <c r="BE11" s="428">
        <v>0</v>
      </c>
      <c r="BF11" s="428">
        <v>0</v>
      </c>
      <c r="BG11" s="428">
        <v>0</v>
      </c>
      <c r="BH11" s="428">
        <v>0</v>
      </c>
      <c r="BI11" s="428">
        <v>0</v>
      </c>
      <c r="BJ11" s="428">
        <v>0</v>
      </c>
      <c r="BK11" s="428">
        <v>0</v>
      </c>
      <c r="BL11" s="428">
        <v>0</v>
      </c>
      <c r="BM11" s="428">
        <v>0</v>
      </c>
      <c r="BN11" s="428">
        <v>0</v>
      </c>
      <c r="BO11" s="428">
        <v>0</v>
      </c>
      <c r="BP11" s="428">
        <v>0</v>
      </c>
      <c r="BQ11" s="428">
        <v>0</v>
      </c>
      <c r="BR11" s="428">
        <v>0</v>
      </c>
      <c r="BS11" s="428">
        <v>0</v>
      </c>
      <c r="BT11" s="428">
        <v>0</v>
      </c>
      <c r="BU11" s="428">
        <v>0</v>
      </c>
      <c r="BV11" s="428">
        <v>0</v>
      </c>
      <c r="BW11" s="428">
        <v>0</v>
      </c>
      <c r="BX11" s="428">
        <v>0</v>
      </c>
      <c r="BY11" s="428">
        <v>0</v>
      </c>
      <c r="BZ11" s="428">
        <v>0</v>
      </c>
      <c r="CA11" s="428">
        <v>0</v>
      </c>
      <c r="CB11" s="428">
        <v>0</v>
      </c>
      <c r="CC11" s="428">
        <v>0</v>
      </c>
      <c r="CD11" s="428">
        <v>0</v>
      </c>
      <c r="CE11" s="428">
        <v>0</v>
      </c>
      <c r="CF11" s="428">
        <v>0</v>
      </c>
      <c r="CG11" s="428">
        <v>0</v>
      </c>
      <c r="CH11" s="428">
        <v>5088</v>
      </c>
      <c r="CI11" s="428">
        <v>0</v>
      </c>
      <c r="CJ11" s="428">
        <v>0</v>
      </c>
      <c r="CK11" s="428">
        <v>0</v>
      </c>
      <c r="CL11" s="428">
        <v>0</v>
      </c>
      <c r="CM11" s="428">
        <v>0</v>
      </c>
      <c r="CN11" s="428">
        <v>0</v>
      </c>
      <c r="CO11" s="428">
        <v>0</v>
      </c>
      <c r="CP11" s="428">
        <v>0</v>
      </c>
      <c r="CQ11" s="428">
        <v>0</v>
      </c>
      <c r="CR11" s="428">
        <v>0</v>
      </c>
      <c r="CS11" s="428">
        <v>0</v>
      </c>
      <c r="CT11" s="428">
        <v>0</v>
      </c>
      <c r="CU11" s="428">
        <v>0</v>
      </c>
      <c r="CV11" s="428">
        <v>0</v>
      </c>
      <c r="CW11" s="428">
        <v>0</v>
      </c>
      <c r="CX11" s="428">
        <v>0</v>
      </c>
      <c r="CY11" s="428">
        <v>0</v>
      </c>
      <c r="CZ11" s="428">
        <v>0</v>
      </c>
      <c r="DA11" s="428">
        <v>0</v>
      </c>
      <c r="DB11" s="428">
        <v>0</v>
      </c>
      <c r="DC11" s="428">
        <v>0</v>
      </c>
      <c r="DD11" s="428">
        <v>0</v>
      </c>
      <c r="DE11" s="428">
        <v>0</v>
      </c>
      <c r="DF11" s="428">
        <v>0</v>
      </c>
      <c r="DG11" s="428">
        <v>0</v>
      </c>
      <c r="DH11" s="428">
        <v>0</v>
      </c>
      <c r="DI11" s="428">
        <v>0</v>
      </c>
      <c r="DJ11" s="428">
        <v>0</v>
      </c>
      <c r="DK11" s="428">
        <v>0</v>
      </c>
      <c r="DL11" s="428">
        <v>0</v>
      </c>
      <c r="DM11" s="428">
        <v>0</v>
      </c>
      <c r="DN11" s="428">
        <v>0</v>
      </c>
      <c r="DO11" s="428">
        <v>0</v>
      </c>
      <c r="DP11" s="428">
        <v>0</v>
      </c>
      <c r="DQ11" s="428">
        <v>0</v>
      </c>
      <c r="DR11" s="428">
        <v>0</v>
      </c>
      <c r="DS11" s="428">
        <v>0</v>
      </c>
      <c r="DT11" s="428">
        <v>0</v>
      </c>
      <c r="DU11" s="428">
        <v>0</v>
      </c>
      <c r="DV11" s="428">
        <v>0</v>
      </c>
      <c r="ED11" s="135"/>
      <c r="EE11" s="357" t="s">
        <v>645</v>
      </c>
      <c r="EF11" s="426" t="s">
        <v>776</v>
      </c>
      <c r="EG11" s="426">
        <v>2</v>
      </c>
      <c r="EH11" s="426">
        <v>26</v>
      </c>
      <c r="EI11" s="208" t="str">
        <f t="shared" si="2"/>
        <v>CLX100226</v>
      </c>
      <c r="EJ11" s="426">
        <v>508.8</v>
      </c>
      <c r="EK11" s="426">
        <v>1017.6</v>
      </c>
      <c r="EL11" s="426">
        <v>1526.4</v>
      </c>
      <c r="EM11" s="426">
        <v>2035.2</v>
      </c>
      <c r="EN11" s="426">
        <v>2544</v>
      </c>
      <c r="EO11" s="426">
        <v>3052.8</v>
      </c>
      <c r="EP11" s="426">
        <v>3561.6</v>
      </c>
      <c r="EQ11" s="426">
        <v>4070.4</v>
      </c>
      <c r="ER11" s="426">
        <v>4579.2</v>
      </c>
      <c r="ES11" s="426">
        <v>5088</v>
      </c>
      <c r="ET11" s="426">
        <v>5088</v>
      </c>
      <c r="EU11" s="426">
        <v>5088</v>
      </c>
      <c r="EV11" s="426">
        <v>5088</v>
      </c>
      <c r="EW11" s="426">
        <v>5088</v>
      </c>
      <c r="EX11" s="426">
        <v>5088</v>
      </c>
      <c r="EY11" s="426">
        <v>5088</v>
      </c>
      <c r="EZ11" s="426">
        <v>5088</v>
      </c>
      <c r="FA11" s="426">
        <v>5088</v>
      </c>
      <c r="FB11" s="426">
        <v>5088</v>
      </c>
      <c r="FC11" s="426">
        <v>5088</v>
      </c>
      <c r="FD11" s="426">
        <v>5088</v>
      </c>
      <c r="FE11" s="426">
        <v>5088</v>
      </c>
      <c r="FF11" s="426">
        <v>5088</v>
      </c>
      <c r="FG11" s="426">
        <v>5088</v>
      </c>
      <c r="FH11" s="426">
        <v>5088</v>
      </c>
      <c r="FI11" s="426">
        <v>5088</v>
      </c>
      <c r="FJ11" s="426">
        <v>5088</v>
      </c>
      <c r="FK11" s="426">
        <v>5088</v>
      </c>
      <c r="FL11" s="426">
        <v>5088</v>
      </c>
      <c r="FM11" s="426">
        <v>5088</v>
      </c>
      <c r="FN11" s="426">
        <v>5088</v>
      </c>
      <c r="FO11" s="426">
        <v>5088</v>
      </c>
      <c r="FP11" s="426">
        <v>5088</v>
      </c>
      <c r="FQ11" s="426">
        <v>5088</v>
      </c>
      <c r="FR11" s="426">
        <v>5088</v>
      </c>
      <c r="FS11" s="426">
        <v>5088</v>
      </c>
      <c r="FT11" s="426">
        <v>5088</v>
      </c>
      <c r="FU11" s="426">
        <v>5088</v>
      </c>
      <c r="FV11" s="426">
        <v>5088</v>
      </c>
      <c r="FW11" s="426">
        <v>5088</v>
      </c>
      <c r="FX11" s="426">
        <v>5088</v>
      </c>
      <c r="FY11" s="426">
        <v>5088</v>
      </c>
      <c r="FZ11" s="426">
        <v>5088</v>
      </c>
      <c r="GA11" s="426">
        <v>5088</v>
      </c>
      <c r="GB11" s="426">
        <v>5088</v>
      </c>
      <c r="GC11" s="426">
        <v>5088</v>
      </c>
      <c r="GD11" s="426">
        <v>5088</v>
      </c>
      <c r="GE11" s="426">
        <v>5088</v>
      </c>
      <c r="GF11" s="426">
        <v>5088</v>
      </c>
      <c r="GG11" s="426">
        <v>5088</v>
      </c>
      <c r="GH11" s="426">
        <v>5088</v>
      </c>
      <c r="GI11" s="426">
        <v>5088</v>
      </c>
      <c r="GJ11" s="426">
        <v>5088</v>
      </c>
      <c r="GK11" s="426">
        <v>5088</v>
      </c>
      <c r="GL11" s="426">
        <v>5088</v>
      </c>
      <c r="GM11" s="426">
        <v>5088</v>
      </c>
      <c r="GN11" s="426">
        <v>5088</v>
      </c>
      <c r="GO11" s="426">
        <v>5088</v>
      </c>
      <c r="GP11" s="426">
        <v>5088</v>
      </c>
      <c r="GQ11" s="426">
        <v>5088</v>
      </c>
      <c r="GR11" s="426">
        <v>5088</v>
      </c>
      <c r="GS11" s="426">
        <v>5088</v>
      </c>
      <c r="GT11" s="426">
        <v>5088</v>
      </c>
      <c r="GU11" s="426">
        <v>5088</v>
      </c>
      <c r="GV11" s="426">
        <v>0</v>
      </c>
      <c r="GW11" s="426">
        <v>0</v>
      </c>
      <c r="GX11" s="426">
        <v>0</v>
      </c>
      <c r="GY11" s="426">
        <v>0</v>
      </c>
      <c r="GZ11" s="426">
        <v>0</v>
      </c>
      <c r="HA11" s="426">
        <v>0</v>
      </c>
      <c r="HB11" s="426">
        <v>0</v>
      </c>
      <c r="HC11" s="426">
        <v>0</v>
      </c>
      <c r="HD11" s="426">
        <v>0</v>
      </c>
      <c r="HE11" s="426">
        <v>0</v>
      </c>
      <c r="HF11" s="426">
        <v>0</v>
      </c>
      <c r="HG11" s="426">
        <v>0</v>
      </c>
      <c r="HH11" s="426">
        <v>0</v>
      </c>
      <c r="HI11" s="426">
        <v>0</v>
      </c>
      <c r="HJ11" s="426">
        <v>0</v>
      </c>
      <c r="HK11" s="426">
        <v>0</v>
      </c>
      <c r="HL11" s="426">
        <v>0</v>
      </c>
      <c r="HM11" s="426">
        <v>0</v>
      </c>
      <c r="HN11" s="426">
        <v>0</v>
      </c>
      <c r="HO11" s="426">
        <v>0</v>
      </c>
      <c r="HP11" s="426">
        <v>0</v>
      </c>
      <c r="HQ11" s="426">
        <v>0</v>
      </c>
      <c r="HR11" s="426">
        <v>0</v>
      </c>
      <c r="HS11" s="426">
        <v>0</v>
      </c>
      <c r="HT11" s="426">
        <v>0</v>
      </c>
      <c r="HU11" s="426">
        <v>0</v>
      </c>
      <c r="HV11" s="426">
        <v>0</v>
      </c>
      <c r="HW11" s="426">
        <v>0</v>
      </c>
      <c r="HX11" s="426">
        <v>0</v>
      </c>
      <c r="HY11" s="426">
        <v>0</v>
      </c>
      <c r="HZ11" s="426">
        <v>0</v>
      </c>
      <c r="IA11" s="426">
        <v>0</v>
      </c>
      <c r="IB11" s="426">
        <v>0</v>
      </c>
      <c r="IC11" s="426">
        <v>0</v>
      </c>
      <c r="ID11" s="426">
        <v>0</v>
      </c>
      <c r="IE11" s="426">
        <v>0</v>
      </c>
      <c r="IF11" s="426">
        <v>0</v>
      </c>
      <c r="IG11" s="426">
        <v>0</v>
      </c>
      <c r="IH11" s="426">
        <v>0</v>
      </c>
      <c r="II11" s="426">
        <v>0</v>
      </c>
      <c r="IJ11" s="426">
        <v>0</v>
      </c>
      <c r="IK11" s="426">
        <v>0</v>
      </c>
      <c r="IL11" s="426">
        <v>0</v>
      </c>
      <c r="IM11" s="426">
        <v>0</v>
      </c>
      <c r="IN11" s="426">
        <v>0</v>
      </c>
      <c r="IO11" s="426">
        <v>0</v>
      </c>
      <c r="IP11" s="426">
        <v>0</v>
      </c>
    </row>
    <row r="12" spans="1:250" ht="15">
      <c r="A12" s="357" t="s">
        <v>645</v>
      </c>
      <c r="B12" s="427" t="s">
        <v>776</v>
      </c>
      <c r="C12" s="427"/>
      <c r="D12" s="427"/>
      <c r="E12" s="427"/>
      <c r="F12" s="427">
        <v>2</v>
      </c>
      <c r="G12" s="427"/>
      <c r="H12" s="427">
        <v>27</v>
      </c>
      <c r="I12" s="427"/>
      <c r="J12" t="str">
        <f t="shared" si="0"/>
        <v>CLX100227</v>
      </c>
      <c r="K12" s="427">
        <v>490</v>
      </c>
      <c r="R12" s="357" t="s">
        <v>645</v>
      </c>
      <c r="S12" s="428" t="s">
        <v>776</v>
      </c>
      <c r="T12" s="428">
        <v>2</v>
      </c>
      <c r="U12" s="428">
        <v>27</v>
      </c>
      <c r="V12" s="208" t="str">
        <f t="shared" si="1"/>
        <v>CLX100227</v>
      </c>
      <c r="W12" s="428">
        <v>0</v>
      </c>
      <c r="X12" s="428">
        <v>0</v>
      </c>
      <c r="Y12" s="428">
        <v>0</v>
      </c>
      <c r="Z12" s="428">
        <v>0</v>
      </c>
      <c r="AA12" s="428">
        <v>0</v>
      </c>
      <c r="AB12" s="428">
        <v>0</v>
      </c>
      <c r="AC12" s="428">
        <v>0</v>
      </c>
      <c r="AD12" s="428">
        <v>0</v>
      </c>
      <c r="AE12" s="428">
        <v>0</v>
      </c>
      <c r="AF12" s="428">
        <v>0</v>
      </c>
      <c r="AG12" s="428">
        <v>0</v>
      </c>
      <c r="AH12" s="428">
        <v>0</v>
      </c>
      <c r="AI12" s="428">
        <v>0</v>
      </c>
      <c r="AJ12" s="428">
        <v>0</v>
      </c>
      <c r="AK12" s="428">
        <v>0</v>
      </c>
      <c r="AL12" s="428">
        <v>0</v>
      </c>
      <c r="AM12" s="428">
        <v>0</v>
      </c>
      <c r="AN12" s="428">
        <v>0</v>
      </c>
      <c r="AO12" s="428">
        <v>0</v>
      </c>
      <c r="AP12" s="428">
        <v>0</v>
      </c>
      <c r="AQ12" s="428">
        <v>0</v>
      </c>
      <c r="AR12" s="428">
        <v>0</v>
      </c>
      <c r="AS12" s="428">
        <v>0</v>
      </c>
      <c r="AT12" s="428">
        <v>0</v>
      </c>
      <c r="AU12" s="428">
        <v>0</v>
      </c>
      <c r="AV12" s="428">
        <v>0</v>
      </c>
      <c r="AW12" s="428">
        <v>0</v>
      </c>
      <c r="AX12" s="428">
        <v>0</v>
      </c>
      <c r="AY12" s="428">
        <v>0</v>
      </c>
      <c r="AZ12" s="428">
        <v>0</v>
      </c>
      <c r="BA12" s="428">
        <v>0</v>
      </c>
      <c r="BB12" s="428">
        <v>0</v>
      </c>
      <c r="BC12" s="428">
        <v>0</v>
      </c>
      <c r="BD12" s="428">
        <v>0</v>
      </c>
      <c r="BE12" s="428">
        <v>0</v>
      </c>
      <c r="BF12" s="428">
        <v>0</v>
      </c>
      <c r="BG12" s="428">
        <v>0</v>
      </c>
      <c r="BH12" s="428">
        <v>0</v>
      </c>
      <c r="BI12" s="428">
        <v>0</v>
      </c>
      <c r="BJ12" s="428">
        <v>0</v>
      </c>
      <c r="BK12" s="428">
        <v>0</v>
      </c>
      <c r="BL12" s="428">
        <v>0</v>
      </c>
      <c r="BM12" s="428">
        <v>0</v>
      </c>
      <c r="BN12" s="428">
        <v>0</v>
      </c>
      <c r="BO12" s="428">
        <v>0</v>
      </c>
      <c r="BP12" s="428">
        <v>0</v>
      </c>
      <c r="BQ12" s="428">
        <v>0</v>
      </c>
      <c r="BR12" s="428">
        <v>0</v>
      </c>
      <c r="BS12" s="428">
        <v>0</v>
      </c>
      <c r="BT12" s="428">
        <v>0</v>
      </c>
      <c r="BU12" s="428">
        <v>0</v>
      </c>
      <c r="BV12" s="428">
        <v>0</v>
      </c>
      <c r="BW12" s="428">
        <v>0</v>
      </c>
      <c r="BX12" s="428">
        <v>0</v>
      </c>
      <c r="BY12" s="428">
        <v>0</v>
      </c>
      <c r="BZ12" s="428">
        <v>0</v>
      </c>
      <c r="CA12" s="428">
        <v>0</v>
      </c>
      <c r="CB12" s="428">
        <v>0</v>
      </c>
      <c r="CC12" s="428">
        <v>0</v>
      </c>
      <c r="CD12" s="428">
        <v>0</v>
      </c>
      <c r="CE12" s="428">
        <v>0</v>
      </c>
      <c r="CF12" s="428">
        <v>0</v>
      </c>
      <c r="CG12" s="428">
        <v>5194</v>
      </c>
      <c r="CH12" s="428">
        <v>0</v>
      </c>
      <c r="CI12" s="428">
        <v>0</v>
      </c>
      <c r="CJ12" s="428">
        <v>0</v>
      </c>
      <c r="CK12" s="428">
        <v>0</v>
      </c>
      <c r="CL12" s="428">
        <v>0</v>
      </c>
      <c r="CM12" s="428">
        <v>0</v>
      </c>
      <c r="CN12" s="428">
        <v>0</v>
      </c>
      <c r="CO12" s="428">
        <v>0</v>
      </c>
      <c r="CP12" s="428">
        <v>0</v>
      </c>
      <c r="CQ12" s="428">
        <v>0</v>
      </c>
      <c r="CR12" s="428">
        <v>0</v>
      </c>
      <c r="CS12" s="428">
        <v>0</v>
      </c>
      <c r="CT12" s="428">
        <v>0</v>
      </c>
      <c r="CU12" s="428">
        <v>0</v>
      </c>
      <c r="CV12" s="428">
        <v>0</v>
      </c>
      <c r="CW12" s="428">
        <v>0</v>
      </c>
      <c r="CX12" s="428">
        <v>0</v>
      </c>
      <c r="CY12" s="428">
        <v>0</v>
      </c>
      <c r="CZ12" s="428">
        <v>0</v>
      </c>
      <c r="DA12" s="428">
        <v>0</v>
      </c>
      <c r="DB12" s="428">
        <v>0</v>
      </c>
      <c r="DC12" s="428">
        <v>0</v>
      </c>
      <c r="DD12" s="428">
        <v>0</v>
      </c>
      <c r="DE12" s="428">
        <v>0</v>
      </c>
      <c r="DF12" s="428">
        <v>0</v>
      </c>
      <c r="DG12" s="428">
        <v>0</v>
      </c>
      <c r="DH12" s="428">
        <v>0</v>
      </c>
      <c r="DI12" s="428">
        <v>0</v>
      </c>
      <c r="DJ12" s="428">
        <v>0</v>
      </c>
      <c r="DK12" s="428">
        <v>0</v>
      </c>
      <c r="DL12" s="428">
        <v>0</v>
      </c>
      <c r="DM12" s="428">
        <v>0</v>
      </c>
      <c r="DN12" s="428">
        <v>0</v>
      </c>
      <c r="DO12" s="428">
        <v>0</v>
      </c>
      <c r="DP12" s="428">
        <v>0</v>
      </c>
      <c r="DQ12" s="428">
        <v>0</v>
      </c>
      <c r="DR12" s="428">
        <v>0</v>
      </c>
      <c r="DS12" s="428">
        <v>0</v>
      </c>
      <c r="DT12" s="428">
        <v>0</v>
      </c>
      <c r="DU12" s="428">
        <v>0</v>
      </c>
      <c r="DV12" s="428">
        <v>0</v>
      </c>
      <c r="ED12" s="135"/>
      <c r="EE12" s="357" t="s">
        <v>645</v>
      </c>
      <c r="EF12" s="426" t="s">
        <v>776</v>
      </c>
      <c r="EG12" s="426">
        <v>2</v>
      </c>
      <c r="EH12" s="426">
        <v>27</v>
      </c>
      <c r="EI12" s="208" t="str">
        <f t="shared" si="2"/>
        <v>CLX100227</v>
      </c>
      <c r="EJ12" s="426">
        <v>519.4</v>
      </c>
      <c r="EK12" s="426">
        <v>1038.8</v>
      </c>
      <c r="EL12" s="426">
        <v>1558.2</v>
      </c>
      <c r="EM12" s="426">
        <v>2077.6</v>
      </c>
      <c r="EN12" s="426">
        <v>2597</v>
      </c>
      <c r="EO12" s="426">
        <v>3116.4</v>
      </c>
      <c r="EP12" s="426">
        <v>3635.8</v>
      </c>
      <c r="EQ12" s="426">
        <v>4155.2</v>
      </c>
      <c r="ER12" s="426">
        <v>4674.6000000000004</v>
      </c>
      <c r="ES12" s="426">
        <v>5194</v>
      </c>
      <c r="ET12" s="426">
        <v>5194</v>
      </c>
      <c r="EU12" s="426">
        <v>5194</v>
      </c>
      <c r="EV12" s="426">
        <v>5194</v>
      </c>
      <c r="EW12" s="426">
        <v>5194</v>
      </c>
      <c r="EX12" s="426">
        <v>5194</v>
      </c>
      <c r="EY12" s="426">
        <v>5194</v>
      </c>
      <c r="EZ12" s="426">
        <v>5194</v>
      </c>
      <c r="FA12" s="426">
        <v>5194</v>
      </c>
      <c r="FB12" s="426">
        <v>5194</v>
      </c>
      <c r="FC12" s="426">
        <v>5194</v>
      </c>
      <c r="FD12" s="426">
        <v>5194</v>
      </c>
      <c r="FE12" s="426">
        <v>5194</v>
      </c>
      <c r="FF12" s="426">
        <v>5194</v>
      </c>
      <c r="FG12" s="426">
        <v>5194</v>
      </c>
      <c r="FH12" s="426">
        <v>5194</v>
      </c>
      <c r="FI12" s="426">
        <v>5194</v>
      </c>
      <c r="FJ12" s="426">
        <v>5194</v>
      </c>
      <c r="FK12" s="426">
        <v>5194</v>
      </c>
      <c r="FL12" s="426">
        <v>5194</v>
      </c>
      <c r="FM12" s="426">
        <v>5194</v>
      </c>
      <c r="FN12" s="426">
        <v>5194</v>
      </c>
      <c r="FO12" s="426">
        <v>5194</v>
      </c>
      <c r="FP12" s="426">
        <v>5194</v>
      </c>
      <c r="FQ12" s="426">
        <v>5194</v>
      </c>
      <c r="FR12" s="426">
        <v>5194</v>
      </c>
      <c r="FS12" s="426">
        <v>5194</v>
      </c>
      <c r="FT12" s="426">
        <v>5194</v>
      </c>
      <c r="FU12" s="426">
        <v>5194</v>
      </c>
      <c r="FV12" s="426">
        <v>5194</v>
      </c>
      <c r="FW12" s="426">
        <v>5194</v>
      </c>
      <c r="FX12" s="426">
        <v>5194</v>
      </c>
      <c r="FY12" s="426">
        <v>5194</v>
      </c>
      <c r="FZ12" s="426">
        <v>5194</v>
      </c>
      <c r="GA12" s="426">
        <v>5194</v>
      </c>
      <c r="GB12" s="426">
        <v>5194</v>
      </c>
      <c r="GC12" s="426">
        <v>5194</v>
      </c>
      <c r="GD12" s="426">
        <v>5194</v>
      </c>
      <c r="GE12" s="426">
        <v>5194</v>
      </c>
      <c r="GF12" s="426">
        <v>5194</v>
      </c>
      <c r="GG12" s="426">
        <v>5194</v>
      </c>
      <c r="GH12" s="426">
        <v>5194</v>
      </c>
      <c r="GI12" s="426">
        <v>5194</v>
      </c>
      <c r="GJ12" s="426">
        <v>5194</v>
      </c>
      <c r="GK12" s="426">
        <v>5194</v>
      </c>
      <c r="GL12" s="426">
        <v>5194</v>
      </c>
      <c r="GM12" s="426">
        <v>5194</v>
      </c>
      <c r="GN12" s="426">
        <v>5194</v>
      </c>
      <c r="GO12" s="426">
        <v>5194</v>
      </c>
      <c r="GP12" s="426">
        <v>5194</v>
      </c>
      <c r="GQ12" s="426">
        <v>5194</v>
      </c>
      <c r="GR12" s="426">
        <v>5194</v>
      </c>
      <c r="GS12" s="426">
        <v>5194</v>
      </c>
      <c r="GT12" s="426">
        <v>5194</v>
      </c>
      <c r="GU12" s="426">
        <v>0</v>
      </c>
      <c r="GV12" s="426">
        <v>0</v>
      </c>
      <c r="GW12" s="426">
        <v>0</v>
      </c>
      <c r="GX12" s="426">
        <v>0</v>
      </c>
      <c r="GY12" s="426">
        <v>0</v>
      </c>
      <c r="GZ12" s="426">
        <v>0</v>
      </c>
      <c r="HA12" s="426">
        <v>0</v>
      </c>
      <c r="HB12" s="426">
        <v>0</v>
      </c>
      <c r="HC12" s="426">
        <v>0</v>
      </c>
      <c r="HD12" s="426">
        <v>0</v>
      </c>
      <c r="HE12" s="426">
        <v>0</v>
      </c>
      <c r="HF12" s="426">
        <v>0</v>
      </c>
      <c r="HG12" s="426">
        <v>0</v>
      </c>
      <c r="HH12" s="426">
        <v>0</v>
      </c>
      <c r="HI12" s="426">
        <v>0</v>
      </c>
      <c r="HJ12" s="426">
        <v>0</v>
      </c>
      <c r="HK12" s="426">
        <v>0</v>
      </c>
      <c r="HL12" s="426">
        <v>0</v>
      </c>
      <c r="HM12" s="426">
        <v>0</v>
      </c>
      <c r="HN12" s="426">
        <v>0</v>
      </c>
      <c r="HO12" s="426">
        <v>0</v>
      </c>
      <c r="HP12" s="426">
        <v>0</v>
      </c>
      <c r="HQ12" s="426">
        <v>0</v>
      </c>
      <c r="HR12" s="426">
        <v>0</v>
      </c>
      <c r="HS12" s="426">
        <v>0</v>
      </c>
      <c r="HT12" s="426">
        <v>0</v>
      </c>
      <c r="HU12" s="426">
        <v>0</v>
      </c>
      <c r="HV12" s="426">
        <v>0</v>
      </c>
      <c r="HW12" s="426">
        <v>0</v>
      </c>
      <c r="HX12" s="426">
        <v>0</v>
      </c>
      <c r="HY12" s="426">
        <v>0</v>
      </c>
      <c r="HZ12" s="426">
        <v>0</v>
      </c>
      <c r="IA12" s="426">
        <v>0</v>
      </c>
      <c r="IB12" s="426">
        <v>0</v>
      </c>
      <c r="IC12" s="426">
        <v>0</v>
      </c>
      <c r="ID12" s="426">
        <v>0</v>
      </c>
      <c r="IE12" s="426">
        <v>0</v>
      </c>
      <c r="IF12" s="426">
        <v>0</v>
      </c>
      <c r="IG12" s="426">
        <v>0</v>
      </c>
      <c r="IH12" s="426">
        <v>0</v>
      </c>
      <c r="II12" s="426">
        <v>0</v>
      </c>
      <c r="IJ12" s="426">
        <v>0</v>
      </c>
      <c r="IK12" s="426">
        <v>0</v>
      </c>
      <c r="IL12" s="426">
        <v>0</v>
      </c>
      <c r="IM12" s="426">
        <v>0</v>
      </c>
      <c r="IN12" s="426">
        <v>0</v>
      </c>
      <c r="IO12" s="426">
        <v>0</v>
      </c>
      <c r="IP12" s="426">
        <v>0</v>
      </c>
    </row>
    <row r="13" spans="1:250" ht="15">
      <c r="A13" s="357" t="s">
        <v>645</v>
      </c>
      <c r="B13" s="427" t="s">
        <v>776</v>
      </c>
      <c r="C13" s="427"/>
      <c r="D13" s="427"/>
      <c r="E13" s="427"/>
      <c r="F13" s="427">
        <v>2</v>
      </c>
      <c r="G13" s="427"/>
      <c r="H13" s="427">
        <v>28</v>
      </c>
      <c r="I13" s="427"/>
      <c r="J13" t="str">
        <f t="shared" si="0"/>
        <v>CLX100228</v>
      </c>
      <c r="K13" s="427">
        <v>500</v>
      </c>
      <c r="R13" s="357" t="s">
        <v>645</v>
      </c>
      <c r="S13" s="428" t="s">
        <v>776</v>
      </c>
      <c r="T13" s="428">
        <v>2</v>
      </c>
      <c r="U13" s="428">
        <v>28</v>
      </c>
      <c r="V13" s="208" t="str">
        <f t="shared" si="1"/>
        <v>CLX100228</v>
      </c>
      <c r="W13" s="428">
        <v>0</v>
      </c>
      <c r="X13" s="428">
        <v>0</v>
      </c>
      <c r="Y13" s="428">
        <v>0</v>
      </c>
      <c r="Z13" s="428">
        <v>0</v>
      </c>
      <c r="AA13" s="428">
        <v>0</v>
      </c>
      <c r="AB13" s="428">
        <v>0</v>
      </c>
      <c r="AC13" s="428">
        <v>0</v>
      </c>
      <c r="AD13" s="428">
        <v>0</v>
      </c>
      <c r="AE13" s="428">
        <v>0</v>
      </c>
      <c r="AF13" s="428">
        <v>0</v>
      </c>
      <c r="AG13" s="428">
        <v>0</v>
      </c>
      <c r="AH13" s="428">
        <v>0</v>
      </c>
      <c r="AI13" s="428">
        <v>0</v>
      </c>
      <c r="AJ13" s="428">
        <v>0</v>
      </c>
      <c r="AK13" s="428">
        <v>0</v>
      </c>
      <c r="AL13" s="428">
        <v>0</v>
      </c>
      <c r="AM13" s="428">
        <v>0</v>
      </c>
      <c r="AN13" s="428">
        <v>0</v>
      </c>
      <c r="AO13" s="428">
        <v>0</v>
      </c>
      <c r="AP13" s="428">
        <v>0</v>
      </c>
      <c r="AQ13" s="428">
        <v>0</v>
      </c>
      <c r="AR13" s="428">
        <v>0</v>
      </c>
      <c r="AS13" s="428">
        <v>0</v>
      </c>
      <c r="AT13" s="428">
        <v>0</v>
      </c>
      <c r="AU13" s="428">
        <v>0</v>
      </c>
      <c r="AV13" s="428">
        <v>0</v>
      </c>
      <c r="AW13" s="428">
        <v>0</v>
      </c>
      <c r="AX13" s="428">
        <v>0</v>
      </c>
      <c r="AY13" s="428">
        <v>0</v>
      </c>
      <c r="AZ13" s="428">
        <v>0</v>
      </c>
      <c r="BA13" s="428">
        <v>0</v>
      </c>
      <c r="BB13" s="428">
        <v>0</v>
      </c>
      <c r="BC13" s="428">
        <v>0</v>
      </c>
      <c r="BD13" s="428">
        <v>0</v>
      </c>
      <c r="BE13" s="428">
        <v>0</v>
      </c>
      <c r="BF13" s="428">
        <v>0</v>
      </c>
      <c r="BG13" s="428">
        <v>0</v>
      </c>
      <c r="BH13" s="428">
        <v>0</v>
      </c>
      <c r="BI13" s="428">
        <v>0</v>
      </c>
      <c r="BJ13" s="428">
        <v>0</v>
      </c>
      <c r="BK13" s="428">
        <v>0</v>
      </c>
      <c r="BL13" s="428">
        <v>0</v>
      </c>
      <c r="BM13" s="428">
        <v>0</v>
      </c>
      <c r="BN13" s="428">
        <v>0</v>
      </c>
      <c r="BO13" s="428">
        <v>0</v>
      </c>
      <c r="BP13" s="428">
        <v>0</v>
      </c>
      <c r="BQ13" s="428">
        <v>0</v>
      </c>
      <c r="BR13" s="428">
        <v>0</v>
      </c>
      <c r="BS13" s="428">
        <v>0</v>
      </c>
      <c r="BT13" s="428">
        <v>0</v>
      </c>
      <c r="BU13" s="428">
        <v>0</v>
      </c>
      <c r="BV13" s="428">
        <v>0</v>
      </c>
      <c r="BW13" s="428">
        <v>0</v>
      </c>
      <c r="BX13" s="428">
        <v>0</v>
      </c>
      <c r="BY13" s="428">
        <v>0</v>
      </c>
      <c r="BZ13" s="428">
        <v>0</v>
      </c>
      <c r="CA13" s="428">
        <v>0</v>
      </c>
      <c r="CB13" s="428">
        <v>0</v>
      </c>
      <c r="CC13" s="428">
        <v>0</v>
      </c>
      <c r="CD13" s="428">
        <v>0</v>
      </c>
      <c r="CE13" s="428">
        <v>0</v>
      </c>
      <c r="CF13" s="428">
        <v>5300</v>
      </c>
      <c r="CG13" s="428">
        <v>0</v>
      </c>
      <c r="CH13" s="428">
        <v>0</v>
      </c>
      <c r="CI13" s="428">
        <v>0</v>
      </c>
      <c r="CJ13" s="428">
        <v>0</v>
      </c>
      <c r="CK13" s="428">
        <v>0</v>
      </c>
      <c r="CL13" s="428">
        <v>0</v>
      </c>
      <c r="CM13" s="428">
        <v>0</v>
      </c>
      <c r="CN13" s="428">
        <v>0</v>
      </c>
      <c r="CO13" s="428">
        <v>0</v>
      </c>
      <c r="CP13" s="428">
        <v>0</v>
      </c>
      <c r="CQ13" s="428">
        <v>0</v>
      </c>
      <c r="CR13" s="428">
        <v>0</v>
      </c>
      <c r="CS13" s="428">
        <v>0</v>
      </c>
      <c r="CT13" s="428">
        <v>0</v>
      </c>
      <c r="CU13" s="428">
        <v>0</v>
      </c>
      <c r="CV13" s="428">
        <v>0</v>
      </c>
      <c r="CW13" s="428">
        <v>0</v>
      </c>
      <c r="CX13" s="428">
        <v>0</v>
      </c>
      <c r="CY13" s="428">
        <v>0</v>
      </c>
      <c r="CZ13" s="428">
        <v>0</v>
      </c>
      <c r="DA13" s="428">
        <v>0</v>
      </c>
      <c r="DB13" s="428">
        <v>0</v>
      </c>
      <c r="DC13" s="428">
        <v>0</v>
      </c>
      <c r="DD13" s="428">
        <v>0</v>
      </c>
      <c r="DE13" s="428">
        <v>0</v>
      </c>
      <c r="DF13" s="428">
        <v>0</v>
      </c>
      <c r="DG13" s="428">
        <v>0</v>
      </c>
      <c r="DH13" s="428">
        <v>0</v>
      </c>
      <c r="DI13" s="428">
        <v>0</v>
      </c>
      <c r="DJ13" s="428">
        <v>0</v>
      </c>
      <c r="DK13" s="428">
        <v>0</v>
      </c>
      <c r="DL13" s="428">
        <v>0</v>
      </c>
      <c r="DM13" s="428">
        <v>0</v>
      </c>
      <c r="DN13" s="428">
        <v>0</v>
      </c>
      <c r="DO13" s="428">
        <v>0</v>
      </c>
      <c r="DP13" s="428">
        <v>0</v>
      </c>
      <c r="DQ13" s="428">
        <v>0</v>
      </c>
      <c r="DR13" s="428">
        <v>0</v>
      </c>
      <c r="DS13" s="428">
        <v>0</v>
      </c>
      <c r="DT13" s="428">
        <v>0</v>
      </c>
      <c r="DU13" s="428">
        <v>0</v>
      </c>
      <c r="DV13" s="428">
        <v>0</v>
      </c>
      <c r="ED13" s="135"/>
      <c r="EE13" s="357" t="s">
        <v>645</v>
      </c>
      <c r="EF13" s="426" t="s">
        <v>776</v>
      </c>
      <c r="EG13" s="426">
        <v>2</v>
      </c>
      <c r="EH13" s="426">
        <v>28</v>
      </c>
      <c r="EI13" s="208" t="str">
        <f t="shared" si="2"/>
        <v>CLX100228</v>
      </c>
      <c r="EJ13" s="426">
        <v>530</v>
      </c>
      <c r="EK13" s="426">
        <v>1060</v>
      </c>
      <c r="EL13" s="426">
        <v>1590</v>
      </c>
      <c r="EM13" s="426">
        <v>2120</v>
      </c>
      <c r="EN13" s="426">
        <v>2650</v>
      </c>
      <c r="EO13" s="426">
        <v>3180</v>
      </c>
      <c r="EP13" s="426">
        <v>3710</v>
      </c>
      <c r="EQ13" s="426">
        <v>4240</v>
      </c>
      <c r="ER13" s="426">
        <v>4770</v>
      </c>
      <c r="ES13" s="426">
        <v>5300</v>
      </c>
      <c r="ET13" s="426">
        <v>5300</v>
      </c>
      <c r="EU13" s="426">
        <v>5300</v>
      </c>
      <c r="EV13" s="426">
        <v>5300</v>
      </c>
      <c r="EW13" s="426">
        <v>5300</v>
      </c>
      <c r="EX13" s="426">
        <v>5300</v>
      </c>
      <c r="EY13" s="426">
        <v>5300</v>
      </c>
      <c r="EZ13" s="426">
        <v>5300</v>
      </c>
      <c r="FA13" s="426">
        <v>5300</v>
      </c>
      <c r="FB13" s="426">
        <v>5300</v>
      </c>
      <c r="FC13" s="426">
        <v>5300</v>
      </c>
      <c r="FD13" s="426">
        <v>5300</v>
      </c>
      <c r="FE13" s="426">
        <v>5300</v>
      </c>
      <c r="FF13" s="426">
        <v>5300</v>
      </c>
      <c r="FG13" s="426">
        <v>5300</v>
      </c>
      <c r="FH13" s="426">
        <v>5300</v>
      </c>
      <c r="FI13" s="426">
        <v>5300</v>
      </c>
      <c r="FJ13" s="426">
        <v>5300</v>
      </c>
      <c r="FK13" s="426">
        <v>5300</v>
      </c>
      <c r="FL13" s="426">
        <v>5300</v>
      </c>
      <c r="FM13" s="426">
        <v>5300</v>
      </c>
      <c r="FN13" s="426">
        <v>5300</v>
      </c>
      <c r="FO13" s="426">
        <v>5300</v>
      </c>
      <c r="FP13" s="426">
        <v>5300</v>
      </c>
      <c r="FQ13" s="426">
        <v>5300</v>
      </c>
      <c r="FR13" s="426">
        <v>5300</v>
      </c>
      <c r="FS13" s="426">
        <v>5300</v>
      </c>
      <c r="FT13" s="426">
        <v>5300</v>
      </c>
      <c r="FU13" s="426">
        <v>5300</v>
      </c>
      <c r="FV13" s="426">
        <v>5300</v>
      </c>
      <c r="FW13" s="426">
        <v>5300</v>
      </c>
      <c r="FX13" s="426">
        <v>5300</v>
      </c>
      <c r="FY13" s="426">
        <v>5300</v>
      </c>
      <c r="FZ13" s="426">
        <v>5300</v>
      </c>
      <c r="GA13" s="426">
        <v>5300</v>
      </c>
      <c r="GB13" s="426">
        <v>5300</v>
      </c>
      <c r="GC13" s="426">
        <v>5300</v>
      </c>
      <c r="GD13" s="426">
        <v>5300</v>
      </c>
      <c r="GE13" s="426">
        <v>5300</v>
      </c>
      <c r="GF13" s="426">
        <v>5300</v>
      </c>
      <c r="GG13" s="426">
        <v>5300</v>
      </c>
      <c r="GH13" s="426">
        <v>5300</v>
      </c>
      <c r="GI13" s="426">
        <v>5300</v>
      </c>
      <c r="GJ13" s="426">
        <v>5300</v>
      </c>
      <c r="GK13" s="426">
        <v>5300</v>
      </c>
      <c r="GL13" s="426">
        <v>5300</v>
      </c>
      <c r="GM13" s="426">
        <v>5300</v>
      </c>
      <c r="GN13" s="426">
        <v>5300</v>
      </c>
      <c r="GO13" s="426">
        <v>5300</v>
      </c>
      <c r="GP13" s="426">
        <v>5300</v>
      </c>
      <c r="GQ13" s="426">
        <v>5300</v>
      </c>
      <c r="GR13" s="426">
        <v>5300</v>
      </c>
      <c r="GS13" s="426">
        <v>5300</v>
      </c>
      <c r="GT13" s="426">
        <v>0</v>
      </c>
      <c r="GU13" s="426">
        <v>0</v>
      </c>
      <c r="GV13" s="426">
        <v>0</v>
      </c>
      <c r="GW13" s="426">
        <v>0</v>
      </c>
      <c r="GX13" s="426">
        <v>0</v>
      </c>
      <c r="GY13" s="426">
        <v>0</v>
      </c>
      <c r="GZ13" s="426">
        <v>0</v>
      </c>
      <c r="HA13" s="426">
        <v>0</v>
      </c>
      <c r="HB13" s="426">
        <v>0</v>
      </c>
      <c r="HC13" s="426">
        <v>0</v>
      </c>
      <c r="HD13" s="426">
        <v>0</v>
      </c>
      <c r="HE13" s="426">
        <v>0</v>
      </c>
      <c r="HF13" s="426">
        <v>0</v>
      </c>
      <c r="HG13" s="426">
        <v>0</v>
      </c>
      <c r="HH13" s="426">
        <v>0</v>
      </c>
      <c r="HI13" s="426">
        <v>0</v>
      </c>
      <c r="HJ13" s="426">
        <v>0</v>
      </c>
      <c r="HK13" s="426">
        <v>0</v>
      </c>
      <c r="HL13" s="426">
        <v>0</v>
      </c>
      <c r="HM13" s="426">
        <v>0</v>
      </c>
      <c r="HN13" s="426">
        <v>0</v>
      </c>
      <c r="HO13" s="426">
        <v>0</v>
      </c>
      <c r="HP13" s="426">
        <v>0</v>
      </c>
      <c r="HQ13" s="426">
        <v>0</v>
      </c>
      <c r="HR13" s="426">
        <v>0</v>
      </c>
      <c r="HS13" s="426">
        <v>0</v>
      </c>
      <c r="HT13" s="426">
        <v>0</v>
      </c>
      <c r="HU13" s="426">
        <v>0</v>
      </c>
      <c r="HV13" s="426">
        <v>0</v>
      </c>
      <c r="HW13" s="426">
        <v>0</v>
      </c>
      <c r="HX13" s="426">
        <v>0</v>
      </c>
      <c r="HY13" s="426">
        <v>0</v>
      </c>
      <c r="HZ13" s="426">
        <v>0</v>
      </c>
      <c r="IA13" s="426">
        <v>0</v>
      </c>
      <c r="IB13" s="426">
        <v>0</v>
      </c>
      <c r="IC13" s="426">
        <v>0</v>
      </c>
      <c r="ID13" s="426">
        <v>0</v>
      </c>
      <c r="IE13" s="426">
        <v>0</v>
      </c>
      <c r="IF13" s="426">
        <v>0</v>
      </c>
      <c r="IG13" s="426">
        <v>0</v>
      </c>
      <c r="IH13" s="426">
        <v>0</v>
      </c>
      <c r="II13" s="426">
        <v>0</v>
      </c>
      <c r="IJ13" s="426">
        <v>0</v>
      </c>
      <c r="IK13" s="426">
        <v>0</v>
      </c>
      <c r="IL13" s="426">
        <v>0</v>
      </c>
      <c r="IM13" s="426">
        <v>0</v>
      </c>
      <c r="IN13" s="426">
        <v>0</v>
      </c>
      <c r="IO13" s="426">
        <v>0</v>
      </c>
      <c r="IP13" s="426">
        <v>0</v>
      </c>
    </row>
    <row r="14" spans="1:250" ht="15">
      <c r="A14" s="357" t="s">
        <v>645</v>
      </c>
      <c r="B14" s="427" t="s">
        <v>776</v>
      </c>
      <c r="C14" s="427"/>
      <c r="D14" s="427"/>
      <c r="E14" s="427"/>
      <c r="F14" s="427">
        <v>2</v>
      </c>
      <c r="G14" s="427"/>
      <c r="H14" s="427">
        <v>29</v>
      </c>
      <c r="I14" s="427"/>
      <c r="J14" t="str">
        <f t="shared" si="0"/>
        <v>CLX100229</v>
      </c>
      <c r="K14" s="427">
        <v>510</v>
      </c>
      <c r="R14" s="357" t="s">
        <v>645</v>
      </c>
      <c r="S14" s="428" t="s">
        <v>776</v>
      </c>
      <c r="T14" s="428">
        <v>2</v>
      </c>
      <c r="U14" s="428">
        <v>29</v>
      </c>
      <c r="V14" s="208" t="str">
        <f t="shared" si="1"/>
        <v>CLX100229</v>
      </c>
      <c r="W14" s="428">
        <v>0</v>
      </c>
      <c r="X14" s="428">
        <v>0</v>
      </c>
      <c r="Y14" s="428">
        <v>0</v>
      </c>
      <c r="Z14" s="428">
        <v>0</v>
      </c>
      <c r="AA14" s="428">
        <v>0</v>
      </c>
      <c r="AB14" s="428">
        <v>0</v>
      </c>
      <c r="AC14" s="428">
        <v>0</v>
      </c>
      <c r="AD14" s="428">
        <v>0</v>
      </c>
      <c r="AE14" s="428">
        <v>0</v>
      </c>
      <c r="AF14" s="428">
        <v>0</v>
      </c>
      <c r="AG14" s="428">
        <v>0</v>
      </c>
      <c r="AH14" s="428">
        <v>0</v>
      </c>
      <c r="AI14" s="428">
        <v>0</v>
      </c>
      <c r="AJ14" s="428">
        <v>0</v>
      </c>
      <c r="AK14" s="428">
        <v>0</v>
      </c>
      <c r="AL14" s="428">
        <v>0</v>
      </c>
      <c r="AM14" s="428">
        <v>0</v>
      </c>
      <c r="AN14" s="428">
        <v>0</v>
      </c>
      <c r="AO14" s="428">
        <v>0</v>
      </c>
      <c r="AP14" s="428">
        <v>0</v>
      </c>
      <c r="AQ14" s="428">
        <v>0</v>
      </c>
      <c r="AR14" s="428">
        <v>0</v>
      </c>
      <c r="AS14" s="428">
        <v>0</v>
      </c>
      <c r="AT14" s="428">
        <v>0</v>
      </c>
      <c r="AU14" s="428">
        <v>0</v>
      </c>
      <c r="AV14" s="428">
        <v>0</v>
      </c>
      <c r="AW14" s="428">
        <v>0</v>
      </c>
      <c r="AX14" s="428">
        <v>0</v>
      </c>
      <c r="AY14" s="428">
        <v>0</v>
      </c>
      <c r="AZ14" s="428">
        <v>0</v>
      </c>
      <c r="BA14" s="428">
        <v>0</v>
      </c>
      <c r="BB14" s="428">
        <v>0</v>
      </c>
      <c r="BC14" s="428">
        <v>0</v>
      </c>
      <c r="BD14" s="428">
        <v>0</v>
      </c>
      <c r="BE14" s="428">
        <v>0</v>
      </c>
      <c r="BF14" s="428">
        <v>0</v>
      </c>
      <c r="BG14" s="428">
        <v>0</v>
      </c>
      <c r="BH14" s="428">
        <v>0</v>
      </c>
      <c r="BI14" s="428">
        <v>0</v>
      </c>
      <c r="BJ14" s="428">
        <v>0</v>
      </c>
      <c r="BK14" s="428">
        <v>0</v>
      </c>
      <c r="BL14" s="428">
        <v>0</v>
      </c>
      <c r="BM14" s="428">
        <v>0</v>
      </c>
      <c r="BN14" s="428">
        <v>0</v>
      </c>
      <c r="BO14" s="428">
        <v>0</v>
      </c>
      <c r="BP14" s="428">
        <v>0</v>
      </c>
      <c r="BQ14" s="428">
        <v>0</v>
      </c>
      <c r="BR14" s="428">
        <v>0</v>
      </c>
      <c r="BS14" s="428">
        <v>0</v>
      </c>
      <c r="BT14" s="428">
        <v>0</v>
      </c>
      <c r="BU14" s="428">
        <v>0</v>
      </c>
      <c r="BV14" s="428">
        <v>0</v>
      </c>
      <c r="BW14" s="428">
        <v>0</v>
      </c>
      <c r="BX14" s="428">
        <v>0</v>
      </c>
      <c r="BY14" s="428">
        <v>0</v>
      </c>
      <c r="BZ14" s="428">
        <v>0</v>
      </c>
      <c r="CA14" s="428">
        <v>0</v>
      </c>
      <c r="CB14" s="428">
        <v>0</v>
      </c>
      <c r="CC14" s="428">
        <v>0</v>
      </c>
      <c r="CD14" s="428">
        <v>0</v>
      </c>
      <c r="CE14" s="428">
        <v>5406</v>
      </c>
      <c r="CF14" s="428">
        <v>0</v>
      </c>
      <c r="CG14" s="428">
        <v>0</v>
      </c>
      <c r="CH14" s="428">
        <v>0</v>
      </c>
      <c r="CI14" s="428">
        <v>0</v>
      </c>
      <c r="CJ14" s="428">
        <v>0</v>
      </c>
      <c r="CK14" s="428">
        <v>0</v>
      </c>
      <c r="CL14" s="428">
        <v>0</v>
      </c>
      <c r="CM14" s="428">
        <v>0</v>
      </c>
      <c r="CN14" s="428">
        <v>0</v>
      </c>
      <c r="CO14" s="428">
        <v>0</v>
      </c>
      <c r="CP14" s="428">
        <v>0</v>
      </c>
      <c r="CQ14" s="428">
        <v>0</v>
      </c>
      <c r="CR14" s="428">
        <v>0</v>
      </c>
      <c r="CS14" s="428">
        <v>0</v>
      </c>
      <c r="CT14" s="428">
        <v>0</v>
      </c>
      <c r="CU14" s="428">
        <v>0</v>
      </c>
      <c r="CV14" s="428">
        <v>0</v>
      </c>
      <c r="CW14" s="428">
        <v>0</v>
      </c>
      <c r="CX14" s="428">
        <v>0</v>
      </c>
      <c r="CY14" s="428">
        <v>0</v>
      </c>
      <c r="CZ14" s="428">
        <v>0</v>
      </c>
      <c r="DA14" s="428">
        <v>0</v>
      </c>
      <c r="DB14" s="428">
        <v>0</v>
      </c>
      <c r="DC14" s="428">
        <v>0</v>
      </c>
      <c r="DD14" s="428">
        <v>0</v>
      </c>
      <c r="DE14" s="428">
        <v>0</v>
      </c>
      <c r="DF14" s="428">
        <v>0</v>
      </c>
      <c r="DG14" s="428">
        <v>0</v>
      </c>
      <c r="DH14" s="428">
        <v>0</v>
      </c>
      <c r="DI14" s="428">
        <v>0</v>
      </c>
      <c r="DJ14" s="428">
        <v>0</v>
      </c>
      <c r="DK14" s="428">
        <v>0</v>
      </c>
      <c r="DL14" s="428">
        <v>0</v>
      </c>
      <c r="DM14" s="428">
        <v>0</v>
      </c>
      <c r="DN14" s="428">
        <v>0</v>
      </c>
      <c r="DO14" s="428">
        <v>0</v>
      </c>
      <c r="DP14" s="428">
        <v>0</v>
      </c>
      <c r="DQ14" s="428">
        <v>0</v>
      </c>
      <c r="DR14" s="428">
        <v>0</v>
      </c>
      <c r="DS14" s="428">
        <v>0</v>
      </c>
      <c r="DT14" s="428">
        <v>0</v>
      </c>
      <c r="DU14" s="428">
        <v>0</v>
      </c>
      <c r="DV14" s="428">
        <v>0</v>
      </c>
      <c r="ED14" s="135"/>
      <c r="EE14" s="357" t="s">
        <v>645</v>
      </c>
      <c r="EF14" s="426" t="s">
        <v>776</v>
      </c>
      <c r="EG14" s="426">
        <v>2</v>
      </c>
      <c r="EH14" s="426">
        <v>29</v>
      </c>
      <c r="EI14" s="208" t="str">
        <f t="shared" si="2"/>
        <v>CLX100229</v>
      </c>
      <c r="EJ14" s="426">
        <v>540.6</v>
      </c>
      <c r="EK14" s="426">
        <v>1081.2</v>
      </c>
      <c r="EL14" s="426">
        <v>1621.8</v>
      </c>
      <c r="EM14" s="426">
        <v>2162.4</v>
      </c>
      <c r="EN14" s="426">
        <v>2703</v>
      </c>
      <c r="EO14" s="426">
        <v>3243.6</v>
      </c>
      <c r="EP14" s="426">
        <v>3784.2</v>
      </c>
      <c r="EQ14" s="426">
        <v>4324.8</v>
      </c>
      <c r="ER14" s="426">
        <v>4865.3999999999996</v>
      </c>
      <c r="ES14" s="426">
        <v>5406</v>
      </c>
      <c r="ET14" s="426">
        <v>5406</v>
      </c>
      <c r="EU14" s="426">
        <v>5406</v>
      </c>
      <c r="EV14" s="426">
        <v>5406</v>
      </c>
      <c r="EW14" s="426">
        <v>5406</v>
      </c>
      <c r="EX14" s="426">
        <v>5406</v>
      </c>
      <c r="EY14" s="426">
        <v>5406</v>
      </c>
      <c r="EZ14" s="426">
        <v>5406</v>
      </c>
      <c r="FA14" s="426">
        <v>5406</v>
      </c>
      <c r="FB14" s="426">
        <v>5406</v>
      </c>
      <c r="FC14" s="426">
        <v>5406</v>
      </c>
      <c r="FD14" s="426">
        <v>5406</v>
      </c>
      <c r="FE14" s="426">
        <v>5406</v>
      </c>
      <c r="FF14" s="426">
        <v>5406</v>
      </c>
      <c r="FG14" s="426">
        <v>5406</v>
      </c>
      <c r="FH14" s="426">
        <v>5406</v>
      </c>
      <c r="FI14" s="426">
        <v>5406</v>
      </c>
      <c r="FJ14" s="426">
        <v>5406</v>
      </c>
      <c r="FK14" s="426">
        <v>5406</v>
      </c>
      <c r="FL14" s="426">
        <v>5406</v>
      </c>
      <c r="FM14" s="426">
        <v>5406</v>
      </c>
      <c r="FN14" s="426">
        <v>5406</v>
      </c>
      <c r="FO14" s="426">
        <v>5406</v>
      </c>
      <c r="FP14" s="426">
        <v>5406</v>
      </c>
      <c r="FQ14" s="426">
        <v>5406</v>
      </c>
      <c r="FR14" s="426">
        <v>5406</v>
      </c>
      <c r="FS14" s="426">
        <v>5406</v>
      </c>
      <c r="FT14" s="426">
        <v>5406</v>
      </c>
      <c r="FU14" s="426">
        <v>5406</v>
      </c>
      <c r="FV14" s="426">
        <v>5406</v>
      </c>
      <c r="FW14" s="426">
        <v>5406</v>
      </c>
      <c r="FX14" s="426">
        <v>5406</v>
      </c>
      <c r="FY14" s="426">
        <v>5406</v>
      </c>
      <c r="FZ14" s="426">
        <v>5406</v>
      </c>
      <c r="GA14" s="426">
        <v>5406</v>
      </c>
      <c r="GB14" s="426">
        <v>5406</v>
      </c>
      <c r="GC14" s="426">
        <v>5406</v>
      </c>
      <c r="GD14" s="426">
        <v>5406</v>
      </c>
      <c r="GE14" s="426">
        <v>5406</v>
      </c>
      <c r="GF14" s="426">
        <v>5406</v>
      </c>
      <c r="GG14" s="426">
        <v>5406</v>
      </c>
      <c r="GH14" s="426">
        <v>5406</v>
      </c>
      <c r="GI14" s="426">
        <v>5406</v>
      </c>
      <c r="GJ14" s="426">
        <v>5406</v>
      </c>
      <c r="GK14" s="426">
        <v>5406</v>
      </c>
      <c r="GL14" s="426">
        <v>5406</v>
      </c>
      <c r="GM14" s="426">
        <v>5406</v>
      </c>
      <c r="GN14" s="426">
        <v>5406</v>
      </c>
      <c r="GO14" s="426">
        <v>5406</v>
      </c>
      <c r="GP14" s="426">
        <v>5406</v>
      </c>
      <c r="GQ14" s="426">
        <v>5406</v>
      </c>
      <c r="GR14" s="426">
        <v>5406</v>
      </c>
      <c r="GS14" s="426">
        <v>0</v>
      </c>
      <c r="GT14" s="426">
        <v>0</v>
      </c>
      <c r="GU14" s="426">
        <v>0</v>
      </c>
      <c r="GV14" s="426">
        <v>0</v>
      </c>
      <c r="GW14" s="426">
        <v>0</v>
      </c>
      <c r="GX14" s="426">
        <v>0</v>
      </c>
      <c r="GY14" s="426">
        <v>0</v>
      </c>
      <c r="GZ14" s="426">
        <v>0</v>
      </c>
      <c r="HA14" s="426">
        <v>0</v>
      </c>
      <c r="HB14" s="426">
        <v>0</v>
      </c>
      <c r="HC14" s="426">
        <v>0</v>
      </c>
      <c r="HD14" s="426">
        <v>0</v>
      </c>
      <c r="HE14" s="426">
        <v>0</v>
      </c>
      <c r="HF14" s="426">
        <v>0</v>
      </c>
      <c r="HG14" s="426">
        <v>0</v>
      </c>
      <c r="HH14" s="426">
        <v>0</v>
      </c>
      <c r="HI14" s="426">
        <v>0</v>
      </c>
      <c r="HJ14" s="426">
        <v>0</v>
      </c>
      <c r="HK14" s="426">
        <v>0</v>
      </c>
      <c r="HL14" s="426">
        <v>0</v>
      </c>
      <c r="HM14" s="426">
        <v>0</v>
      </c>
      <c r="HN14" s="426">
        <v>0</v>
      </c>
      <c r="HO14" s="426">
        <v>0</v>
      </c>
      <c r="HP14" s="426">
        <v>0</v>
      </c>
      <c r="HQ14" s="426">
        <v>0</v>
      </c>
      <c r="HR14" s="426">
        <v>0</v>
      </c>
      <c r="HS14" s="426">
        <v>0</v>
      </c>
      <c r="HT14" s="426">
        <v>0</v>
      </c>
      <c r="HU14" s="426">
        <v>0</v>
      </c>
      <c r="HV14" s="426">
        <v>0</v>
      </c>
      <c r="HW14" s="426">
        <v>0</v>
      </c>
      <c r="HX14" s="426">
        <v>0</v>
      </c>
      <c r="HY14" s="426">
        <v>0</v>
      </c>
      <c r="HZ14" s="426">
        <v>0</v>
      </c>
      <c r="IA14" s="426">
        <v>0</v>
      </c>
      <c r="IB14" s="426">
        <v>0</v>
      </c>
      <c r="IC14" s="426">
        <v>0</v>
      </c>
      <c r="ID14" s="426">
        <v>0</v>
      </c>
      <c r="IE14" s="426">
        <v>0</v>
      </c>
      <c r="IF14" s="426">
        <v>0</v>
      </c>
      <c r="IG14" s="426">
        <v>0</v>
      </c>
      <c r="IH14" s="426">
        <v>0</v>
      </c>
      <c r="II14" s="426">
        <v>0</v>
      </c>
      <c r="IJ14" s="426">
        <v>0</v>
      </c>
      <c r="IK14" s="426">
        <v>0</v>
      </c>
      <c r="IL14" s="426">
        <v>0</v>
      </c>
      <c r="IM14" s="426">
        <v>0</v>
      </c>
      <c r="IN14" s="426">
        <v>0</v>
      </c>
      <c r="IO14" s="426">
        <v>0</v>
      </c>
      <c r="IP14" s="426">
        <v>0</v>
      </c>
    </row>
    <row r="15" spans="1:250" ht="15">
      <c r="A15" s="357" t="s">
        <v>645</v>
      </c>
      <c r="B15" s="427" t="s">
        <v>776</v>
      </c>
      <c r="C15" s="427"/>
      <c r="D15" s="427"/>
      <c r="E15" s="427"/>
      <c r="F15" s="427">
        <v>2</v>
      </c>
      <c r="G15" s="427"/>
      <c r="H15" s="427">
        <v>30</v>
      </c>
      <c r="I15" s="427"/>
      <c r="J15" t="str">
        <f t="shared" si="0"/>
        <v>CLX100230</v>
      </c>
      <c r="K15" s="427">
        <v>515</v>
      </c>
      <c r="R15" s="357" t="s">
        <v>645</v>
      </c>
      <c r="S15" s="428" t="s">
        <v>776</v>
      </c>
      <c r="T15" s="428">
        <v>2</v>
      </c>
      <c r="U15" s="428">
        <v>30</v>
      </c>
      <c r="V15" s="208" t="str">
        <f t="shared" si="1"/>
        <v>CLX100230</v>
      </c>
      <c r="W15" s="428">
        <v>0</v>
      </c>
      <c r="X15" s="428">
        <v>0</v>
      </c>
      <c r="Y15" s="428">
        <v>0</v>
      </c>
      <c r="Z15" s="428">
        <v>0</v>
      </c>
      <c r="AA15" s="428">
        <v>0</v>
      </c>
      <c r="AB15" s="428">
        <v>0</v>
      </c>
      <c r="AC15" s="428">
        <v>0</v>
      </c>
      <c r="AD15" s="428">
        <v>0</v>
      </c>
      <c r="AE15" s="428">
        <v>0</v>
      </c>
      <c r="AF15" s="428">
        <v>0</v>
      </c>
      <c r="AG15" s="428">
        <v>0</v>
      </c>
      <c r="AH15" s="428">
        <v>0</v>
      </c>
      <c r="AI15" s="428">
        <v>0</v>
      </c>
      <c r="AJ15" s="428">
        <v>0</v>
      </c>
      <c r="AK15" s="428">
        <v>0</v>
      </c>
      <c r="AL15" s="428">
        <v>0</v>
      </c>
      <c r="AM15" s="428">
        <v>0</v>
      </c>
      <c r="AN15" s="428">
        <v>0</v>
      </c>
      <c r="AO15" s="428">
        <v>0</v>
      </c>
      <c r="AP15" s="428">
        <v>0</v>
      </c>
      <c r="AQ15" s="428">
        <v>0</v>
      </c>
      <c r="AR15" s="428">
        <v>0</v>
      </c>
      <c r="AS15" s="428">
        <v>0</v>
      </c>
      <c r="AT15" s="428">
        <v>0</v>
      </c>
      <c r="AU15" s="428">
        <v>0</v>
      </c>
      <c r="AV15" s="428">
        <v>0</v>
      </c>
      <c r="AW15" s="428">
        <v>0</v>
      </c>
      <c r="AX15" s="428">
        <v>0</v>
      </c>
      <c r="AY15" s="428">
        <v>0</v>
      </c>
      <c r="AZ15" s="428">
        <v>0</v>
      </c>
      <c r="BA15" s="428">
        <v>0</v>
      </c>
      <c r="BB15" s="428">
        <v>0</v>
      </c>
      <c r="BC15" s="428">
        <v>0</v>
      </c>
      <c r="BD15" s="428">
        <v>0</v>
      </c>
      <c r="BE15" s="428">
        <v>0</v>
      </c>
      <c r="BF15" s="428">
        <v>0</v>
      </c>
      <c r="BG15" s="428">
        <v>0</v>
      </c>
      <c r="BH15" s="428">
        <v>0</v>
      </c>
      <c r="BI15" s="428">
        <v>0</v>
      </c>
      <c r="BJ15" s="428">
        <v>0</v>
      </c>
      <c r="BK15" s="428">
        <v>0</v>
      </c>
      <c r="BL15" s="428">
        <v>0</v>
      </c>
      <c r="BM15" s="428">
        <v>0</v>
      </c>
      <c r="BN15" s="428">
        <v>0</v>
      </c>
      <c r="BO15" s="428">
        <v>0</v>
      </c>
      <c r="BP15" s="428">
        <v>0</v>
      </c>
      <c r="BQ15" s="428">
        <v>0</v>
      </c>
      <c r="BR15" s="428">
        <v>0</v>
      </c>
      <c r="BS15" s="428">
        <v>0</v>
      </c>
      <c r="BT15" s="428">
        <v>0</v>
      </c>
      <c r="BU15" s="428">
        <v>0</v>
      </c>
      <c r="BV15" s="428">
        <v>0</v>
      </c>
      <c r="BW15" s="428">
        <v>0</v>
      </c>
      <c r="BX15" s="428">
        <v>0</v>
      </c>
      <c r="BY15" s="428">
        <v>0</v>
      </c>
      <c r="BZ15" s="428">
        <v>0</v>
      </c>
      <c r="CA15" s="428">
        <v>0</v>
      </c>
      <c r="CB15" s="428">
        <v>0</v>
      </c>
      <c r="CC15" s="428">
        <v>0</v>
      </c>
      <c r="CD15" s="428">
        <v>5459</v>
      </c>
      <c r="CE15" s="428">
        <v>0</v>
      </c>
      <c r="CF15" s="428">
        <v>0</v>
      </c>
      <c r="CG15" s="428">
        <v>0</v>
      </c>
      <c r="CH15" s="428">
        <v>0</v>
      </c>
      <c r="CI15" s="428">
        <v>0</v>
      </c>
      <c r="CJ15" s="428">
        <v>0</v>
      </c>
      <c r="CK15" s="428">
        <v>0</v>
      </c>
      <c r="CL15" s="428">
        <v>0</v>
      </c>
      <c r="CM15" s="428">
        <v>0</v>
      </c>
      <c r="CN15" s="428">
        <v>0</v>
      </c>
      <c r="CO15" s="428">
        <v>0</v>
      </c>
      <c r="CP15" s="428">
        <v>0</v>
      </c>
      <c r="CQ15" s="428">
        <v>0</v>
      </c>
      <c r="CR15" s="428">
        <v>0</v>
      </c>
      <c r="CS15" s="428">
        <v>0</v>
      </c>
      <c r="CT15" s="428">
        <v>0</v>
      </c>
      <c r="CU15" s="428">
        <v>0</v>
      </c>
      <c r="CV15" s="428">
        <v>0</v>
      </c>
      <c r="CW15" s="428">
        <v>0</v>
      </c>
      <c r="CX15" s="428">
        <v>0</v>
      </c>
      <c r="CY15" s="428">
        <v>0</v>
      </c>
      <c r="CZ15" s="428">
        <v>0</v>
      </c>
      <c r="DA15" s="428">
        <v>0</v>
      </c>
      <c r="DB15" s="428">
        <v>0</v>
      </c>
      <c r="DC15" s="428">
        <v>0</v>
      </c>
      <c r="DD15" s="428">
        <v>0</v>
      </c>
      <c r="DE15" s="428">
        <v>0</v>
      </c>
      <c r="DF15" s="428">
        <v>0</v>
      </c>
      <c r="DG15" s="428">
        <v>0</v>
      </c>
      <c r="DH15" s="428">
        <v>0</v>
      </c>
      <c r="DI15" s="428">
        <v>0</v>
      </c>
      <c r="DJ15" s="428">
        <v>0</v>
      </c>
      <c r="DK15" s="428">
        <v>0</v>
      </c>
      <c r="DL15" s="428">
        <v>0</v>
      </c>
      <c r="DM15" s="428">
        <v>0</v>
      </c>
      <c r="DN15" s="428">
        <v>0</v>
      </c>
      <c r="DO15" s="428">
        <v>0</v>
      </c>
      <c r="DP15" s="428">
        <v>0</v>
      </c>
      <c r="DQ15" s="428">
        <v>0</v>
      </c>
      <c r="DR15" s="428">
        <v>0</v>
      </c>
      <c r="DS15" s="428">
        <v>0</v>
      </c>
      <c r="DT15" s="428">
        <v>0</v>
      </c>
      <c r="DU15" s="428">
        <v>0</v>
      </c>
      <c r="DV15" s="428">
        <v>0</v>
      </c>
      <c r="ED15" s="135"/>
      <c r="EE15" s="357" t="s">
        <v>645</v>
      </c>
      <c r="EF15" s="426" t="s">
        <v>776</v>
      </c>
      <c r="EG15" s="426">
        <v>2</v>
      </c>
      <c r="EH15" s="426">
        <v>30</v>
      </c>
      <c r="EI15" s="208" t="str">
        <f t="shared" si="2"/>
        <v>CLX100230</v>
      </c>
      <c r="EJ15" s="426">
        <v>545.9</v>
      </c>
      <c r="EK15" s="426">
        <v>1091.8</v>
      </c>
      <c r="EL15" s="426">
        <v>1637.7</v>
      </c>
      <c r="EM15" s="426">
        <v>2183.6</v>
      </c>
      <c r="EN15" s="426">
        <v>2729.5</v>
      </c>
      <c r="EO15" s="426">
        <v>3275.4</v>
      </c>
      <c r="EP15" s="426">
        <v>3821.3</v>
      </c>
      <c r="EQ15" s="426">
        <v>4367.2</v>
      </c>
      <c r="ER15" s="426">
        <v>4913.1000000000004</v>
      </c>
      <c r="ES15" s="426">
        <v>5459</v>
      </c>
      <c r="ET15" s="426">
        <v>5459</v>
      </c>
      <c r="EU15" s="426">
        <v>5459</v>
      </c>
      <c r="EV15" s="426">
        <v>5459</v>
      </c>
      <c r="EW15" s="426">
        <v>5459</v>
      </c>
      <c r="EX15" s="426">
        <v>5459</v>
      </c>
      <c r="EY15" s="426">
        <v>5459</v>
      </c>
      <c r="EZ15" s="426">
        <v>5459</v>
      </c>
      <c r="FA15" s="426">
        <v>5459</v>
      </c>
      <c r="FB15" s="426">
        <v>5459</v>
      </c>
      <c r="FC15" s="426">
        <v>5459</v>
      </c>
      <c r="FD15" s="426">
        <v>5459</v>
      </c>
      <c r="FE15" s="426">
        <v>5459</v>
      </c>
      <c r="FF15" s="426">
        <v>5459</v>
      </c>
      <c r="FG15" s="426">
        <v>5459</v>
      </c>
      <c r="FH15" s="426">
        <v>5459</v>
      </c>
      <c r="FI15" s="426">
        <v>5459</v>
      </c>
      <c r="FJ15" s="426">
        <v>5459</v>
      </c>
      <c r="FK15" s="426">
        <v>5459</v>
      </c>
      <c r="FL15" s="426">
        <v>5459</v>
      </c>
      <c r="FM15" s="426">
        <v>5459</v>
      </c>
      <c r="FN15" s="426">
        <v>5459</v>
      </c>
      <c r="FO15" s="426">
        <v>5459</v>
      </c>
      <c r="FP15" s="426">
        <v>5459</v>
      </c>
      <c r="FQ15" s="426">
        <v>5459</v>
      </c>
      <c r="FR15" s="426">
        <v>5459</v>
      </c>
      <c r="FS15" s="426">
        <v>5459</v>
      </c>
      <c r="FT15" s="426">
        <v>5459</v>
      </c>
      <c r="FU15" s="426">
        <v>5459</v>
      </c>
      <c r="FV15" s="426">
        <v>5459</v>
      </c>
      <c r="FW15" s="426">
        <v>5459</v>
      </c>
      <c r="FX15" s="426">
        <v>5459</v>
      </c>
      <c r="FY15" s="426">
        <v>5459</v>
      </c>
      <c r="FZ15" s="426">
        <v>5459</v>
      </c>
      <c r="GA15" s="426">
        <v>5459</v>
      </c>
      <c r="GB15" s="426">
        <v>5459</v>
      </c>
      <c r="GC15" s="426">
        <v>5459</v>
      </c>
      <c r="GD15" s="426">
        <v>5459</v>
      </c>
      <c r="GE15" s="426">
        <v>5459</v>
      </c>
      <c r="GF15" s="426">
        <v>5459</v>
      </c>
      <c r="GG15" s="426">
        <v>5459</v>
      </c>
      <c r="GH15" s="426">
        <v>5459</v>
      </c>
      <c r="GI15" s="426">
        <v>5459</v>
      </c>
      <c r="GJ15" s="426">
        <v>5459</v>
      </c>
      <c r="GK15" s="426">
        <v>5459</v>
      </c>
      <c r="GL15" s="426">
        <v>5459</v>
      </c>
      <c r="GM15" s="426">
        <v>5459</v>
      </c>
      <c r="GN15" s="426">
        <v>5459</v>
      </c>
      <c r="GO15" s="426">
        <v>5459</v>
      </c>
      <c r="GP15" s="426">
        <v>5459</v>
      </c>
      <c r="GQ15" s="426">
        <v>5459</v>
      </c>
      <c r="GR15" s="426">
        <v>0</v>
      </c>
      <c r="GS15" s="426">
        <v>0</v>
      </c>
      <c r="GT15" s="426">
        <v>0</v>
      </c>
      <c r="GU15" s="426">
        <v>0</v>
      </c>
      <c r="GV15" s="426">
        <v>0</v>
      </c>
      <c r="GW15" s="426">
        <v>0</v>
      </c>
      <c r="GX15" s="426">
        <v>0</v>
      </c>
      <c r="GY15" s="426">
        <v>0</v>
      </c>
      <c r="GZ15" s="426">
        <v>0</v>
      </c>
      <c r="HA15" s="426">
        <v>0</v>
      </c>
      <c r="HB15" s="426">
        <v>0</v>
      </c>
      <c r="HC15" s="426">
        <v>0</v>
      </c>
      <c r="HD15" s="426">
        <v>0</v>
      </c>
      <c r="HE15" s="426">
        <v>0</v>
      </c>
      <c r="HF15" s="426">
        <v>0</v>
      </c>
      <c r="HG15" s="426">
        <v>0</v>
      </c>
      <c r="HH15" s="426">
        <v>0</v>
      </c>
      <c r="HI15" s="426">
        <v>0</v>
      </c>
      <c r="HJ15" s="426">
        <v>0</v>
      </c>
      <c r="HK15" s="426">
        <v>0</v>
      </c>
      <c r="HL15" s="426">
        <v>0</v>
      </c>
      <c r="HM15" s="426">
        <v>0</v>
      </c>
      <c r="HN15" s="426">
        <v>0</v>
      </c>
      <c r="HO15" s="426">
        <v>0</v>
      </c>
      <c r="HP15" s="426">
        <v>0</v>
      </c>
      <c r="HQ15" s="426">
        <v>0</v>
      </c>
      <c r="HR15" s="426">
        <v>0</v>
      </c>
      <c r="HS15" s="426">
        <v>0</v>
      </c>
      <c r="HT15" s="426">
        <v>0</v>
      </c>
      <c r="HU15" s="426">
        <v>0</v>
      </c>
      <c r="HV15" s="426">
        <v>0</v>
      </c>
      <c r="HW15" s="426">
        <v>0</v>
      </c>
      <c r="HX15" s="426">
        <v>0</v>
      </c>
      <c r="HY15" s="426">
        <v>0</v>
      </c>
      <c r="HZ15" s="426">
        <v>0</v>
      </c>
      <c r="IA15" s="426">
        <v>0</v>
      </c>
      <c r="IB15" s="426">
        <v>0</v>
      </c>
      <c r="IC15" s="426">
        <v>0</v>
      </c>
      <c r="ID15" s="426">
        <v>0</v>
      </c>
      <c r="IE15" s="426">
        <v>0</v>
      </c>
      <c r="IF15" s="426">
        <v>0</v>
      </c>
      <c r="IG15" s="426">
        <v>0</v>
      </c>
      <c r="IH15" s="426">
        <v>0</v>
      </c>
      <c r="II15" s="426">
        <v>0</v>
      </c>
      <c r="IJ15" s="426">
        <v>0</v>
      </c>
      <c r="IK15" s="426">
        <v>0</v>
      </c>
      <c r="IL15" s="426">
        <v>0</v>
      </c>
      <c r="IM15" s="426">
        <v>0</v>
      </c>
      <c r="IN15" s="426">
        <v>0</v>
      </c>
      <c r="IO15" s="426">
        <v>0</v>
      </c>
      <c r="IP15" s="426">
        <v>0</v>
      </c>
    </row>
    <row r="16" spans="1:250" ht="15">
      <c r="A16" s="357" t="s">
        <v>645</v>
      </c>
      <c r="B16" s="427" t="s">
        <v>776</v>
      </c>
      <c r="C16" s="427"/>
      <c r="D16" s="427"/>
      <c r="E16" s="427"/>
      <c r="F16" s="427">
        <v>2</v>
      </c>
      <c r="G16" s="427"/>
      <c r="H16" s="427">
        <v>31</v>
      </c>
      <c r="I16" s="427"/>
      <c r="J16" t="str">
        <f t="shared" si="0"/>
        <v>CLX100231</v>
      </c>
      <c r="K16" s="427">
        <v>525</v>
      </c>
      <c r="R16" s="357" t="s">
        <v>645</v>
      </c>
      <c r="S16" s="428" t="s">
        <v>776</v>
      </c>
      <c r="T16" s="428">
        <v>2</v>
      </c>
      <c r="U16" s="428">
        <v>31</v>
      </c>
      <c r="V16" s="208" t="str">
        <f t="shared" si="1"/>
        <v>CLX100231</v>
      </c>
      <c r="W16" s="428">
        <v>0</v>
      </c>
      <c r="X16" s="428">
        <v>0</v>
      </c>
      <c r="Y16" s="428">
        <v>0</v>
      </c>
      <c r="Z16" s="428">
        <v>0</v>
      </c>
      <c r="AA16" s="428">
        <v>0</v>
      </c>
      <c r="AB16" s="428">
        <v>0</v>
      </c>
      <c r="AC16" s="428">
        <v>0</v>
      </c>
      <c r="AD16" s="428">
        <v>0</v>
      </c>
      <c r="AE16" s="428">
        <v>0</v>
      </c>
      <c r="AF16" s="428">
        <v>0</v>
      </c>
      <c r="AG16" s="428">
        <v>0</v>
      </c>
      <c r="AH16" s="428">
        <v>0</v>
      </c>
      <c r="AI16" s="428">
        <v>0</v>
      </c>
      <c r="AJ16" s="428">
        <v>0</v>
      </c>
      <c r="AK16" s="428">
        <v>0</v>
      </c>
      <c r="AL16" s="428">
        <v>0</v>
      </c>
      <c r="AM16" s="428">
        <v>0</v>
      </c>
      <c r="AN16" s="428">
        <v>0</v>
      </c>
      <c r="AO16" s="428">
        <v>0</v>
      </c>
      <c r="AP16" s="428">
        <v>0</v>
      </c>
      <c r="AQ16" s="428">
        <v>0</v>
      </c>
      <c r="AR16" s="428">
        <v>0</v>
      </c>
      <c r="AS16" s="428">
        <v>0</v>
      </c>
      <c r="AT16" s="428">
        <v>0</v>
      </c>
      <c r="AU16" s="428">
        <v>0</v>
      </c>
      <c r="AV16" s="428">
        <v>0</v>
      </c>
      <c r="AW16" s="428">
        <v>0</v>
      </c>
      <c r="AX16" s="428">
        <v>0</v>
      </c>
      <c r="AY16" s="428">
        <v>0</v>
      </c>
      <c r="AZ16" s="428">
        <v>0</v>
      </c>
      <c r="BA16" s="428">
        <v>0</v>
      </c>
      <c r="BB16" s="428">
        <v>0</v>
      </c>
      <c r="BC16" s="428">
        <v>0</v>
      </c>
      <c r="BD16" s="428">
        <v>0</v>
      </c>
      <c r="BE16" s="428">
        <v>0</v>
      </c>
      <c r="BF16" s="428">
        <v>0</v>
      </c>
      <c r="BG16" s="428">
        <v>0</v>
      </c>
      <c r="BH16" s="428">
        <v>0</v>
      </c>
      <c r="BI16" s="428">
        <v>0</v>
      </c>
      <c r="BJ16" s="428">
        <v>0</v>
      </c>
      <c r="BK16" s="428">
        <v>0</v>
      </c>
      <c r="BL16" s="428">
        <v>0</v>
      </c>
      <c r="BM16" s="428">
        <v>0</v>
      </c>
      <c r="BN16" s="428">
        <v>0</v>
      </c>
      <c r="BO16" s="428">
        <v>0</v>
      </c>
      <c r="BP16" s="428">
        <v>0</v>
      </c>
      <c r="BQ16" s="428">
        <v>0</v>
      </c>
      <c r="BR16" s="428">
        <v>0</v>
      </c>
      <c r="BS16" s="428">
        <v>0</v>
      </c>
      <c r="BT16" s="428">
        <v>0</v>
      </c>
      <c r="BU16" s="428">
        <v>0</v>
      </c>
      <c r="BV16" s="428">
        <v>0</v>
      </c>
      <c r="BW16" s="428">
        <v>0</v>
      </c>
      <c r="BX16" s="428">
        <v>0</v>
      </c>
      <c r="BY16" s="428">
        <v>0</v>
      </c>
      <c r="BZ16" s="428">
        <v>0</v>
      </c>
      <c r="CA16" s="428">
        <v>0</v>
      </c>
      <c r="CB16" s="428">
        <v>0</v>
      </c>
      <c r="CC16" s="428">
        <v>5565</v>
      </c>
      <c r="CD16" s="428">
        <v>0</v>
      </c>
      <c r="CE16" s="428">
        <v>0</v>
      </c>
      <c r="CF16" s="428">
        <v>0</v>
      </c>
      <c r="CG16" s="428">
        <v>0</v>
      </c>
      <c r="CH16" s="428">
        <v>0</v>
      </c>
      <c r="CI16" s="428">
        <v>0</v>
      </c>
      <c r="CJ16" s="428">
        <v>0</v>
      </c>
      <c r="CK16" s="428">
        <v>0</v>
      </c>
      <c r="CL16" s="428">
        <v>0</v>
      </c>
      <c r="CM16" s="428">
        <v>0</v>
      </c>
      <c r="CN16" s="428">
        <v>0</v>
      </c>
      <c r="CO16" s="428">
        <v>0</v>
      </c>
      <c r="CP16" s="428">
        <v>0</v>
      </c>
      <c r="CQ16" s="428">
        <v>0</v>
      </c>
      <c r="CR16" s="428">
        <v>0</v>
      </c>
      <c r="CS16" s="428">
        <v>0</v>
      </c>
      <c r="CT16" s="428">
        <v>0</v>
      </c>
      <c r="CU16" s="428">
        <v>0</v>
      </c>
      <c r="CV16" s="428">
        <v>0</v>
      </c>
      <c r="CW16" s="428">
        <v>0</v>
      </c>
      <c r="CX16" s="428">
        <v>0</v>
      </c>
      <c r="CY16" s="428">
        <v>0</v>
      </c>
      <c r="CZ16" s="428">
        <v>0</v>
      </c>
      <c r="DA16" s="428">
        <v>0</v>
      </c>
      <c r="DB16" s="428">
        <v>0</v>
      </c>
      <c r="DC16" s="428">
        <v>0</v>
      </c>
      <c r="DD16" s="428">
        <v>0</v>
      </c>
      <c r="DE16" s="428">
        <v>0</v>
      </c>
      <c r="DF16" s="428">
        <v>0</v>
      </c>
      <c r="DG16" s="428">
        <v>0</v>
      </c>
      <c r="DH16" s="428">
        <v>0</v>
      </c>
      <c r="DI16" s="428">
        <v>0</v>
      </c>
      <c r="DJ16" s="428">
        <v>0</v>
      </c>
      <c r="DK16" s="428">
        <v>0</v>
      </c>
      <c r="DL16" s="428">
        <v>0</v>
      </c>
      <c r="DM16" s="428">
        <v>0</v>
      </c>
      <c r="DN16" s="428">
        <v>0</v>
      </c>
      <c r="DO16" s="428">
        <v>0</v>
      </c>
      <c r="DP16" s="428">
        <v>0</v>
      </c>
      <c r="DQ16" s="428">
        <v>0</v>
      </c>
      <c r="DR16" s="428">
        <v>0</v>
      </c>
      <c r="DS16" s="428">
        <v>0</v>
      </c>
      <c r="DT16" s="428">
        <v>0</v>
      </c>
      <c r="DU16" s="428">
        <v>0</v>
      </c>
      <c r="DV16" s="428">
        <v>0</v>
      </c>
      <c r="ED16" s="135"/>
      <c r="EE16" s="357" t="s">
        <v>645</v>
      </c>
      <c r="EF16" s="426" t="s">
        <v>776</v>
      </c>
      <c r="EG16" s="426">
        <v>2</v>
      </c>
      <c r="EH16" s="426">
        <v>31</v>
      </c>
      <c r="EI16" s="208" t="str">
        <f t="shared" si="2"/>
        <v>CLX100231</v>
      </c>
      <c r="EJ16" s="426">
        <v>556.5</v>
      </c>
      <c r="EK16" s="426">
        <v>1113</v>
      </c>
      <c r="EL16" s="426">
        <v>1669.5</v>
      </c>
      <c r="EM16" s="426">
        <v>2226</v>
      </c>
      <c r="EN16" s="426">
        <v>2782.5</v>
      </c>
      <c r="EO16" s="426">
        <v>3339</v>
      </c>
      <c r="EP16" s="426">
        <v>3895.5</v>
      </c>
      <c r="EQ16" s="426">
        <v>4452</v>
      </c>
      <c r="ER16" s="426">
        <v>5008.5</v>
      </c>
      <c r="ES16" s="426">
        <v>5565</v>
      </c>
      <c r="ET16" s="426">
        <v>5565</v>
      </c>
      <c r="EU16" s="426">
        <v>5565</v>
      </c>
      <c r="EV16" s="426">
        <v>5565</v>
      </c>
      <c r="EW16" s="426">
        <v>5565</v>
      </c>
      <c r="EX16" s="426">
        <v>5565</v>
      </c>
      <c r="EY16" s="426">
        <v>5565</v>
      </c>
      <c r="EZ16" s="426">
        <v>5565</v>
      </c>
      <c r="FA16" s="426">
        <v>5565</v>
      </c>
      <c r="FB16" s="426">
        <v>5565</v>
      </c>
      <c r="FC16" s="426">
        <v>5565</v>
      </c>
      <c r="FD16" s="426">
        <v>5565</v>
      </c>
      <c r="FE16" s="426">
        <v>5565</v>
      </c>
      <c r="FF16" s="426">
        <v>5565</v>
      </c>
      <c r="FG16" s="426">
        <v>5565</v>
      </c>
      <c r="FH16" s="426">
        <v>5565</v>
      </c>
      <c r="FI16" s="426">
        <v>5565</v>
      </c>
      <c r="FJ16" s="426">
        <v>5565</v>
      </c>
      <c r="FK16" s="426">
        <v>5565</v>
      </c>
      <c r="FL16" s="426">
        <v>5565</v>
      </c>
      <c r="FM16" s="426">
        <v>5565</v>
      </c>
      <c r="FN16" s="426">
        <v>5565</v>
      </c>
      <c r="FO16" s="426">
        <v>5565</v>
      </c>
      <c r="FP16" s="426">
        <v>5565</v>
      </c>
      <c r="FQ16" s="426">
        <v>5565</v>
      </c>
      <c r="FR16" s="426">
        <v>5565</v>
      </c>
      <c r="FS16" s="426">
        <v>5565</v>
      </c>
      <c r="FT16" s="426">
        <v>5565</v>
      </c>
      <c r="FU16" s="426">
        <v>5565</v>
      </c>
      <c r="FV16" s="426">
        <v>5565</v>
      </c>
      <c r="FW16" s="426">
        <v>5565</v>
      </c>
      <c r="FX16" s="426">
        <v>5565</v>
      </c>
      <c r="FY16" s="426">
        <v>5565</v>
      </c>
      <c r="FZ16" s="426">
        <v>5565</v>
      </c>
      <c r="GA16" s="426">
        <v>5565</v>
      </c>
      <c r="GB16" s="426">
        <v>5565</v>
      </c>
      <c r="GC16" s="426">
        <v>5565</v>
      </c>
      <c r="GD16" s="426">
        <v>5565</v>
      </c>
      <c r="GE16" s="426">
        <v>5565</v>
      </c>
      <c r="GF16" s="426">
        <v>5565</v>
      </c>
      <c r="GG16" s="426">
        <v>5565</v>
      </c>
      <c r="GH16" s="426">
        <v>5565</v>
      </c>
      <c r="GI16" s="426">
        <v>5565</v>
      </c>
      <c r="GJ16" s="426">
        <v>5565</v>
      </c>
      <c r="GK16" s="426">
        <v>5565</v>
      </c>
      <c r="GL16" s="426">
        <v>5565</v>
      </c>
      <c r="GM16" s="426">
        <v>5565</v>
      </c>
      <c r="GN16" s="426">
        <v>5565</v>
      </c>
      <c r="GO16" s="426">
        <v>5565</v>
      </c>
      <c r="GP16" s="426">
        <v>5565</v>
      </c>
      <c r="GQ16" s="426">
        <v>0</v>
      </c>
      <c r="GR16" s="426">
        <v>0</v>
      </c>
      <c r="GS16" s="426">
        <v>0</v>
      </c>
      <c r="GT16" s="426">
        <v>0</v>
      </c>
      <c r="GU16" s="426">
        <v>0</v>
      </c>
      <c r="GV16" s="426">
        <v>0</v>
      </c>
      <c r="GW16" s="426">
        <v>0</v>
      </c>
      <c r="GX16" s="426">
        <v>0</v>
      </c>
      <c r="GY16" s="426">
        <v>0</v>
      </c>
      <c r="GZ16" s="426">
        <v>0</v>
      </c>
      <c r="HA16" s="426">
        <v>0</v>
      </c>
      <c r="HB16" s="426">
        <v>0</v>
      </c>
      <c r="HC16" s="426">
        <v>0</v>
      </c>
      <c r="HD16" s="426">
        <v>0</v>
      </c>
      <c r="HE16" s="426">
        <v>0</v>
      </c>
      <c r="HF16" s="426">
        <v>0</v>
      </c>
      <c r="HG16" s="426">
        <v>0</v>
      </c>
      <c r="HH16" s="426">
        <v>0</v>
      </c>
      <c r="HI16" s="426">
        <v>0</v>
      </c>
      <c r="HJ16" s="426">
        <v>0</v>
      </c>
      <c r="HK16" s="426">
        <v>0</v>
      </c>
      <c r="HL16" s="426">
        <v>0</v>
      </c>
      <c r="HM16" s="426">
        <v>0</v>
      </c>
      <c r="HN16" s="426">
        <v>0</v>
      </c>
      <c r="HO16" s="426">
        <v>0</v>
      </c>
      <c r="HP16" s="426">
        <v>0</v>
      </c>
      <c r="HQ16" s="426">
        <v>0</v>
      </c>
      <c r="HR16" s="426">
        <v>0</v>
      </c>
      <c r="HS16" s="426">
        <v>0</v>
      </c>
      <c r="HT16" s="426">
        <v>0</v>
      </c>
      <c r="HU16" s="426">
        <v>0</v>
      </c>
      <c r="HV16" s="426">
        <v>0</v>
      </c>
      <c r="HW16" s="426">
        <v>0</v>
      </c>
      <c r="HX16" s="426">
        <v>0</v>
      </c>
      <c r="HY16" s="426">
        <v>0</v>
      </c>
      <c r="HZ16" s="426">
        <v>0</v>
      </c>
      <c r="IA16" s="426">
        <v>0</v>
      </c>
      <c r="IB16" s="426">
        <v>0</v>
      </c>
      <c r="IC16" s="426">
        <v>0</v>
      </c>
      <c r="ID16" s="426">
        <v>0</v>
      </c>
      <c r="IE16" s="426">
        <v>0</v>
      </c>
      <c r="IF16" s="426">
        <v>0</v>
      </c>
      <c r="IG16" s="426">
        <v>0</v>
      </c>
      <c r="IH16" s="426">
        <v>0</v>
      </c>
      <c r="II16" s="426">
        <v>0</v>
      </c>
      <c r="IJ16" s="426">
        <v>0</v>
      </c>
      <c r="IK16" s="426">
        <v>0</v>
      </c>
      <c r="IL16" s="426">
        <v>0</v>
      </c>
      <c r="IM16" s="426">
        <v>0</v>
      </c>
      <c r="IN16" s="426">
        <v>0</v>
      </c>
      <c r="IO16" s="426">
        <v>0</v>
      </c>
      <c r="IP16" s="426">
        <v>0</v>
      </c>
    </row>
    <row r="17" spans="1:250" ht="15">
      <c r="A17" s="357" t="s">
        <v>645</v>
      </c>
      <c r="B17" s="427" t="s">
        <v>776</v>
      </c>
      <c r="C17" s="427"/>
      <c r="D17" s="427"/>
      <c r="E17" s="427"/>
      <c r="F17" s="427">
        <v>2</v>
      </c>
      <c r="G17" s="427"/>
      <c r="H17" s="427">
        <v>32</v>
      </c>
      <c r="I17" s="427"/>
      <c r="J17" t="str">
        <f t="shared" si="0"/>
        <v>CLX100232</v>
      </c>
      <c r="K17" s="427">
        <v>535</v>
      </c>
      <c r="R17" s="357" t="s">
        <v>645</v>
      </c>
      <c r="S17" s="428" t="s">
        <v>776</v>
      </c>
      <c r="T17" s="428">
        <v>2</v>
      </c>
      <c r="U17" s="428">
        <v>32</v>
      </c>
      <c r="V17" s="208" t="str">
        <f t="shared" si="1"/>
        <v>CLX100232</v>
      </c>
      <c r="W17" s="428">
        <v>0</v>
      </c>
      <c r="X17" s="428">
        <v>0</v>
      </c>
      <c r="Y17" s="428">
        <v>0</v>
      </c>
      <c r="Z17" s="428">
        <v>0</v>
      </c>
      <c r="AA17" s="428">
        <v>0</v>
      </c>
      <c r="AB17" s="428">
        <v>0</v>
      </c>
      <c r="AC17" s="428">
        <v>0</v>
      </c>
      <c r="AD17" s="428">
        <v>0</v>
      </c>
      <c r="AE17" s="428">
        <v>0</v>
      </c>
      <c r="AF17" s="428">
        <v>0</v>
      </c>
      <c r="AG17" s="428">
        <v>0</v>
      </c>
      <c r="AH17" s="428">
        <v>0</v>
      </c>
      <c r="AI17" s="428">
        <v>0</v>
      </c>
      <c r="AJ17" s="428">
        <v>0</v>
      </c>
      <c r="AK17" s="428">
        <v>0</v>
      </c>
      <c r="AL17" s="428">
        <v>0</v>
      </c>
      <c r="AM17" s="428">
        <v>0</v>
      </c>
      <c r="AN17" s="428">
        <v>0</v>
      </c>
      <c r="AO17" s="428">
        <v>0</v>
      </c>
      <c r="AP17" s="428">
        <v>0</v>
      </c>
      <c r="AQ17" s="428">
        <v>0</v>
      </c>
      <c r="AR17" s="428">
        <v>0</v>
      </c>
      <c r="AS17" s="428">
        <v>0</v>
      </c>
      <c r="AT17" s="428">
        <v>0</v>
      </c>
      <c r="AU17" s="428">
        <v>0</v>
      </c>
      <c r="AV17" s="428">
        <v>0</v>
      </c>
      <c r="AW17" s="428">
        <v>0</v>
      </c>
      <c r="AX17" s="428">
        <v>0</v>
      </c>
      <c r="AY17" s="428">
        <v>0</v>
      </c>
      <c r="AZ17" s="428">
        <v>0</v>
      </c>
      <c r="BA17" s="428">
        <v>0</v>
      </c>
      <c r="BB17" s="428">
        <v>0</v>
      </c>
      <c r="BC17" s="428">
        <v>0</v>
      </c>
      <c r="BD17" s="428">
        <v>0</v>
      </c>
      <c r="BE17" s="428">
        <v>0</v>
      </c>
      <c r="BF17" s="428">
        <v>0</v>
      </c>
      <c r="BG17" s="428">
        <v>0</v>
      </c>
      <c r="BH17" s="428">
        <v>0</v>
      </c>
      <c r="BI17" s="428">
        <v>0</v>
      </c>
      <c r="BJ17" s="428">
        <v>0</v>
      </c>
      <c r="BK17" s="428">
        <v>0</v>
      </c>
      <c r="BL17" s="428">
        <v>0</v>
      </c>
      <c r="BM17" s="428">
        <v>0</v>
      </c>
      <c r="BN17" s="428">
        <v>0</v>
      </c>
      <c r="BO17" s="428">
        <v>0</v>
      </c>
      <c r="BP17" s="428">
        <v>0</v>
      </c>
      <c r="BQ17" s="428">
        <v>0</v>
      </c>
      <c r="BR17" s="428">
        <v>0</v>
      </c>
      <c r="BS17" s="428">
        <v>0</v>
      </c>
      <c r="BT17" s="428">
        <v>0</v>
      </c>
      <c r="BU17" s="428">
        <v>0</v>
      </c>
      <c r="BV17" s="428">
        <v>0</v>
      </c>
      <c r="BW17" s="428">
        <v>0</v>
      </c>
      <c r="BX17" s="428">
        <v>0</v>
      </c>
      <c r="BY17" s="428">
        <v>0</v>
      </c>
      <c r="BZ17" s="428">
        <v>0</v>
      </c>
      <c r="CA17" s="428">
        <v>0</v>
      </c>
      <c r="CB17" s="428">
        <v>5671</v>
      </c>
      <c r="CC17" s="428">
        <v>0</v>
      </c>
      <c r="CD17" s="428">
        <v>0</v>
      </c>
      <c r="CE17" s="428">
        <v>0</v>
      </c>
      <c r="CF17" s="428">
        <v>0</v>
      </c>
      <c r="CG17" s="428">
        <v>0</v>
      </c>
      <c r="CH17" s="428">
        <v>0</v>
      </c>
      <c r="CI17" s="428">
        <v>0</v>
      </c>
      <c r="CJ17" s="428">
        <v>0</v>
      </c>
      <c r="CK17" s="428">
        <v>0</v>
      </c>
      <c r="CL17" s="428">
        <v>0</v>
      </c>
      <c r="CM17" s="428">
        <v>0</v>
      </c>
      <c r="CN17" s="428">
        <v>0</v>
      </c>
      <c r="CO17" s="428">
        <v>0</v>
      </c>
      <c r="CP17" s="428">
        <v>0</v>
      </c>
      <c r="CQ17" s="428">
        <v>0</v>
      </c>
      <c r="CR17" s="428">
        <v>0</v>
      </c>
      <c r="CS17" s="428">
        <v>0</v>
      </c>
      <c r="CT17" s="428">
        <v>0</v>
      </c>
      <c r="CU17" s="428">
        <v>0</v>
      </c>
      <c r="CV17" s="428">
        <v>0</v>
      </c>
      <c r="CW17" s="428">
        <v>0</v>
      </c>
      <c r="CX17" s="428">
        <v>0</v>
      </c>
      <c r="CY17" s="428">
        <v>0</v>
      </c>
      <c r="CZ17" s="428">
        <v>0</v>
      </c>
      <c r="DA17" s="428">
        <v>0</v>
      </c>
      <c r="DB17" s="428">
        <v>0</v>
      </c>
      <c r="DC17" s="428">
        <v>0</v>
      </c>
      <c r="DD17" s="428">
        <v>0</v>
      </c>
      <c r="DE17" s="428">
        <v>0</v>
      </c>
      <c r="DF17" s="428">
        <v>0</v>
      </c>
      <c r="DG17" s="428">
        <v>0</v>
      </c>
      <c r="DH17" s="428">
        <v>0</v>
      </c>
      <c r="DI17" s="428">
        <v>0</v>
      </c>
      <c r="DJ17" s="428">
        <v>0</v>
      </c>
      <c r="DK17" s="428">
        <v>0</v>
      </c>
      <c r="DL17" s="428">
        <v>0</v>
      </c>
      <c r="DM17" s="428">
        <v>0</v>
      </c>
      <c r="DN17" s="428">
        <v>0</v>
      </c>
      <c r="DO17" s="428">
        <v>0</v>
      </c>
      <c r="DP17" s="428">
        <v>0</v>
      </c>
      <c r="DQ17" s="428">
        <v>0</v>
      </c>
      <c r="DR17" s="428">
        <v>0</v>
      </c>
      <c r="DS17" s="428">
        <v>0</v>
      </c>
      <c r="DT17" s="428">
        <v>0</v>
      </c>
      <c r="DU17" s="428">
        <v>0</v>
      </c>
      <c r="DV17" s="428">
        <v>0</v>
      </c>
      <c r="ED17" s="135"/>
      <c r="EE17" s="357" t="s">
        <v>645</v>
      </c>
      <c r="EF17" s="426" t="s">
        <v>776</v>
      </c>
      <c r="EG17" s="426">
        <v>2</v>
      </c>
      <c r="EH17" s="426">
        <v>32</v>
      </c>
      <c r="EI17" s="208" t="str">
        <f t="shared" si="2"/>
        <v>CLX100232</v>
      </c>
      <c r="EJ17" s="426">
        <v>567.1</v>
      </c>
      <c r="EK17" s="426">
        <v>1134.2</v>
      </c>
      <c r="EL17" s="426">
        <v>1701.3</v>
      </c>
      <c r="EM17" s="426">
        <v>2268.4</v>
      </c>
      <c r="EN17" s="426">
        <v>2835.5</v>
      </c>
      <c r="EO17" s="426">
        <v>3402.6</v>
      </c>
      <c r="EP17" s="426">
        <v>3969.7</v>
      </c>
      <c r="EQ17" s="426">
        <v>4536.8</v>
      </c>
      <c r="ER17" s="426">
        <v>5103.8999999999996</v>
      </c>
      <c r="ES17" s="426">
        <v>5671</v>
      </c>
      <c r="ET17" s="426">
        <v>5671</v>
      </c>
      <c r="EU17" s="426">
        <v>5671</v>
      </c>
      <c r="EV17" s="426">
        <v>5671</v>
      </c>
      <c r="EW17" s="426">
        <v>5671</v>
      </c>
      <c r="EX17" s="426">
        <v>5671</v>
      </c>
      <c r="EY17" s="426">
        <v>5671</v>
      </c>
      <c r="EZ17" s="426">
        <v>5671</v>
      </c>
      <c r="FA17" s="426">
        <v>5671</v>
      </c>
      <c r="FB17" s="426">
        <v>5671</v>
      </c>
      <c r="FC17" s="426">
        <v>5671</v>
      </c>
      <c r="FD17" s="426">
        <v>5671</v>
      </c>
      <c r="FE17" s="426">
        <v>5671</v>
      </c>
      <c r="FF17" s="426">
        <v>5671</v>
      </c>
      <c r="FG17" s="426">
        <v>5671</v>
      </c>
      <c r="FH17" s="426">
        <v>5671</v>
      </c>
      <c r="FI17" s="426">
        <v>5671</v>
      </c>
      <c r="FJ17" s="426">
        <v>5671</v>
      </c>
      <c r="FK17" s="426">
        <v>5671</v>
      </c>
      <c r="FL17" s="426">
        <v>5671</v>
      </c>
      <c r="FM17" s="426">
        <v>5671</v>
      </c>
      <c r="FN17" s="426">
        <v>5671</v>
      </c>
      <c r="FO17" s="426">
        <v>5671</v>
      </c>
      <c r="FP17" s="426">
        <v>5671</v>
      </c>
      <c r="FQ17" s="426">
        <v>5671</v>
      </c>
      <c r="FR17" s="426">
        <v>5671</v>
      </c>
      <c r="FS17" s="426">
        <v>5671</v>
      </c>
      <c r="FT17" s="426">
        <v>5671</v>
      </c>
      <c r="FU17" s="426">
        <v>5671</v>
      </c>
      <c r="FV17" s="426">
        <v>5671</v>
      </c>
      <c r="FW17" s="426">
        <v>5671</v>
      </c>
      <c r="FX17" s="426">
        <v>5671</v>
      </c>
      <c r="FY17" s="426">
        <v>5671</v>
      </c>
      <c r="FZ17" s="426">
        <v>5671</v>
      </c>
      <c r="GA17" s="426">
        <v>5671</v>
      </c>
      <c r="GB17" s="426">
        <v>5671</v>
      </c>
      <c r="GC17" s="426">
        <v>5671</v>
      </c>
      <c r="GD17" s="426">
        <v>5671</v>
      </c>
      <c r="GE17" s="426">
        <v>5671</v>
      </c>
      <c r="GF17" s="426">
        <v>5671</v>
      </c>
      <c r="GG17" s="426">
        <v>5671</v>
      </c>
      <c r="GH17" s="426">
        <v>5671</v>
      </c>
      <c r="GI17" s="426">
        <v>5671</v>
      </c>
      <c r="GJ17" s="426">
        <v>5671</v>
      </c>
      <c r="GK17" s="426">
        <v>5671</v>
      </c>
      <c r="GL17" s="426">
        <v>5671</v>
      </c>
      <c r="GM17" s="426">
        <v>5671</v>
      </c>
      <c r="GN17" s="426">
        <v>5671</v>
      </c>
      <c r="GO17" s="426">
        <v>5671</v>
      </c>
      <c r="GP17" s="426">
        <v>0</v>
      </c>
      <c r="GQ17" s="426">
        <v>0</v>
      </c>
      <c r="GR17" s="426">
        <v>0</v>
      </c>
      <c r="GS17" s="426">
        <v>0</v>
      </c>
      <c r="GT17" s="426">
        <v>0</v>
      </c>
      <c r="GU17" s="426">
        <v>0</v>
      </c>
      <c r="GV17" s="426">
        <v>0</v>
      </c>
      <c r="GW17" s="426">
        <v>0</v>
      </c>
      <c r="GX17" s="426">
        <v>0</v>
      </c>
      <c r="GY17" s="426">
        <v>0</v>
      </c>
      <c r="GZ17" s="426">
        <v>0</v>
      </c>
      <c r="HA17" s="426">
        <v>0</v>
      </c>
      <c r="HB17" s="426">
        <v>0</v>
      </c>
      <c r="HC17" s="426">
        <v>0</v>
      </c>
      <c r="HD17" s="426">
        <v>0</v>
      </c>
      <c r="HE17" s="426">
        <v>0</v>
      </c>
      <c r="HF17" s="426">
        <v>0</v>
      </c>
      <c r="HG17" s="426">
        <v>0</v>
      </c>
      <c r="HH17" s="426">
        <v>0</v>
      </c>
      <c r="HI17" s="426">
        <v>0</v>
      </c>
      <c r="HJ17" s="426">
        <v>0</v>
      </c>
      <c r="HK17" s="426">
        <v>0</v>
      </c>
      <c r="HL17" s="426">
        <v>0</v>
      </c>
      <c r="HM17" s="426">
        <v>0</v>
      </c>
      <c r="HN17" s="426">
        <v>0</v>
      </c>
      <c r="HO17" s="426">
        <v>0</v>
      </c>
      <c r="HP17" s="426">
        <v>0</v>
      </c>
      <c r="HQ17" s="426">
        <v>0</v>
      </c>
      <c r="HR17" s="426">
        <v>0</v>
      </c>
      <c r="HS17" s="426">
        <v>0</v>
      </c>
      <c r="HT17" s="426">
        <v>0</v>
      </c>
      <c r="HU17" s="426">
        <v>0</v>
      </c>
      <c r="HV17" s="426">
        <v>0</v>
      </c>
      <c r="HW17" s="426">
        <v>0</v>
      </c>
      <c r="HX17" s="426">
        <v>0</v>
      </c>
      <c r="HY17" s="426">
        <v>0</v>
      </c>
      <c r="HZ17" s="426">
        <v>0</v>
      </c>
      <c r="IA17" s="426">
        <v>0</v>
      </c>
      <c r="IB17" s="426">
        <v>0</v>
      </c>
      <c r="IC17" s="426">
        <v>0</v>
      </c>
      <c r="ID17" s="426">
        <v>0</v>
      </c>
      <c r="IE17" s="426">
        <v>0</v>
      </c>
      <c r="IF17" s="426">
        <v>0</v>
      </c>
      <c r="IG17" s="426">
        <v>0</v>
      </c>
      <c r="IH17" s="426">
        <v>0</v>
      </c>
      <c r="II17" s="426">
        <v>0</v>
      </c>
      <c r="IJ17" s="426">
        <v>0</v>
      </c>
      <c r="IK17" s="426">
        <v>0</v>
      </c>
      <c r="IL17" s="426">
        <v>0</v>
      </c>
      <c r="IM17" s="426">
        <v>0</v>
      </c>
      <c r="IN17" s="426">
        <v>0</v>
      </c>
      <c r="IO17" s="426">
        <v>0</v>
      </c>
      <c r="IP17" s="426">
        <v>0</v>
      </c>
    </row>
    <row r="18" spans="1:250" ht="15">
      <c r="A18" s="357" t="s">
        <v>645</v>
      </c>
      <c r="B18" s="427" t="s">
        <v>776</v>
      </c>
      <c r="C18" s="427"/>
      <c r="D18" s="427"/>
      <c r="E18" s="427"/>
      <c r="F18" s="427">
        <v>2</v>
      </c>
      <c r="G18" s="427"/>
      <c r="H18" s="427">
        <v>33</v>
      </c>
      <c r="I18" s="427"/>
      <c r="J18" t="str">
        <f t="shared" si="0"/>
        <v>CLX100233</v>
      </c>
      <c r="K18" s="427">
        <v>545</v>
      </c>
      <c r="R18" s="357" t="s">
        <v>645</v>
      </c>
      <c r="S18" s="428" t="s">
        <v>776</v>
      </c>
      <c r="T18" s="428">
        <v>2</v>
      </c>
      <c r="U18" s="428">
        <v>33</v>
      </c>
      <c r="V18" s="208" t="str">
        <f t="shared" si="1"/>
        <v>CLX100233</v>
      </c>
      <c r="W18" s="428">
        <v>0</v>
      </c>
      <c r="X18" s="428">
        <v>0</v>
      </c>
      <c r="Y18" s="428">
        <v>0</v>
      </c>
      <c r="Z18" s="428">
        <v>0</v>
      </c>
      <c r="AA18" s="428">
        <v>0</v>
      </c>
      <c r="AB18" s="428">
        <v>0</v>
      </c>
      <c r="AC18" s="428">
        <v>0</v>
      </c>
      <c r="AD18" s="428">
        <v>0</v>
      </c>
      <c r="AE18" s="428">
        <v>0</v>
      </c>
      <c r="AF18" s="428">
        <v>0</v>
      </c>
      <c r="AG18" s="428">
        <v>0</v>
      </c>
      <c r="AH18" s="428">
        <v>0</v>
      </c>
      <c r="AI18" s="428">
        <v>0</v>
      </c>
      <c r="AJ18" s="428">
        <v>0</v>
      </c>
      <c r="AK18" s="428">
        <v>0</v>
      </c>
      <c r="AL18" s="428">
        <v>0</v>
      </c>
      <c r="AM18" s="428">
        <v>0</v>
      </c>
      <c r="AN18" s="428">
        <v>0</v>
      </c>
      <c r="AO18" s="428">
        <v>0</v>
      </c>
      <c r="AP18" s="428">
        <v>0</v>
      </c>
      <c r="AQ18" s="428">
        <v>0</v>
      </c>
      <c r="AR18" s="428">
        <v>0</v>
      </c>
      <c r="AS18" s="428">
        <v>0</v>
      </c>
      <c r="AT18" s="428">
        <v>0</v>
      </c>
      <c r="AU18" s="428">
        <v>0</v>
      </c>
      <c r="AV18" s="428">
        <v>0</v>
      </c>
      <c r="AW18" s="428">
        <v>0</v>
      </c>
      <c r="AX18" s="428">
        <v>0</v>
      </c>
      <c r="AY18" s="428">
        <v>0</v>
      </c>
      <c r="AZ18" s="428">
        <v>0</v>
      </c>
      <c r="BA18" s="428">
        <v>0</v>
      </c>
      <c r="BB18" s="428">
        <v>0</v>
      </c>
      <c r="BC18" s="428">
        <v>0</v>
      </c>
      <c r="BD18" s="428">
        <v>0</v>
      </c>
      <c r="BE18" s="428">
        <v>0</v>
      </c>
      <c r="BF18" s="428">
        <v>0</v>
      </c>
      <c r="BG18" s="428">
        <v>0</v>
      </c>
      <c r="BH18" s="428">
        <v>0</v>
      </c>
      <c r="BI18" s="428">
        <v>0</v>
      </c>
      <c r="BJ18" s="428">
        <v>0</v>
      </c>
      <c r="BK18" s="428">
        <v>0</v>
      </c>
      <c r="BL18" s="428">
        <v>0</v>
      </c>
      <c r="BM18" s="428">
        <v>0</v>
      </c>
      <c r="BN18" s="428">
        <v>0</v>
      </c>
      <c r="BO18" s="428">
        <v>0</v>
      </c>
      <c r="BP18" s="428">
        <v>0</v>
      </c>
      <c r="BQ18" s="428">
        <v>0</v>
      </c>
      <c r="BR18" s="428">
        <v>0</v>
      </c>
      <c r="BS18" s="428">
        <v>0</v>
      </c>
      <c r="BT18" s="428">
        <v>0</v>
      </c>
      <c r="BU18" s="428">
        <v>0</v>
      </c>
      <c r="BV18" s="428">
        <v>0</v>
      </c>
      <c r="BW18" s="428">
        <v>0</v>
      </c>
      <c r="BX18" s="428">
        <v>0</v>
      </c>
      <c r="BY18" s="428">
        <v>0</v>
      </c>
      <c r="BZ18" s="428">
        <v>0</v>
      </c>
      <c r="CA18" s="428">
        <v>5777</v>
      </c>
      <c r="CB18" s="428">
        <v>0</v>
      </c>
      <c r="CC18" s="428">
        <v>0</v>
      </c>
      <c r="CD18" s="428">
        <v>0</v>
      </c>
      <c r="CE18" s="428">
        <v>0</v>
      </c>
      <c r="CF18" s="428">
        <v>0</v>
      </c>
      <c r="CG18" s="428">
        <v>0</v>
      </c>
      <c r="CH18" s="428">
        <v>0</v>
      </c>
      <c r="CI18" s="428">
        <v>0</v>
      </c>
      <c r="CJ18" s="428">
        <v>0</v>
      </c>
      <c r="CK18" s="428">
        <v>0</v>
      </c>
      <c r="CL18" s="428">
        <v>0</v>
      </c>
      <c r="CM18" s="428">
        <v>0</v>
      </c>
      <c r="CN18" s="428">
        <v>0</v>
      </c>
      <c r="CO18" s="428">
        <v>0</v>
      </c>
      <c r="CP18" s="428">
        <v>0</v>
      </c>
      <c r="CQ18" s="428">
        <v>0</v>
      </c>
      <c r="CR18" s="428">
        <v>0</v>
      </c>
      <c r="CS18" s="428">
        <v>0</v>
      </c>
      <c r="CT18" s="428">
        <v>0</v>
      </c>
      <c r="CU18" s="428">
        <v>0</v>
      </c>
      <c r="CV18" s="428">
        <v>0</v>
      </c>
      <c r="CW18" s="428">
        <v>0</v>
      </c>
      <c r="CX18" s="428">
        <v>0</v>
      </c>
      <c r="CY18" s="428">
        <v>0</v>
      </c>
      <c r="CZ18" s="428">
        <v>0</v>
      </c>
      <c r="DA18" s="428">
        <v>0</v>
      </c>
      <c r="DB18" s="428">
        <v>0</v>
      </c>
      <c r="DC18" s="428">
        <v>0</v>
      </c>
      <c r="DD18" s="428">
        <v>0</v>
      </c>
      <c r="DE18" s="428">
        <v>0</v>
      </c>
      <c r="DF18" s="428">
        <v>0</v>
      </c>
      <c r="DG18" s="428">
        <v>0</v>
      </c>
      <c r="DH18" s="428">
        <v>0</v>
      </c>
      <c r="DI18" s="428">
        <v>0</v>
      </c>
      <c r="DJ18" s="428">
        <v>0</v>
      </c>
      <c r="DK18" s="428">
        <v>0</v>
      </c>
      <c r="DL18" s="428">
        <v>0</v>
      </c>
      <c r="DM18" s="428">
        <v>0</v>
      </c>
      <c r="DN18" s="428">
        <v>0</v>
      </c>
      <c r="DO18" s="428">
        <v>0</v>
      </c>
      <c r="DP18" s="428">
        <v>0</v>
      </c>
      <c r="DQ18" s="428">
        <v>0</v>
      </c>
      <c r="DR18" s="428">
        <v>0</v>
      </c>
      <c r="DS18" s="428">
        <v>0</v>
      </c>
      <c r="DT18" s="428">
        <v>0</v>
      </c>
      <c r="DU18" s="428">
        <v>0</v>
      </c>
      <c r="DV18" s="428">
        <v>0</v>
      </c>
      <c r="ED18" s="135"/>
      <c r="EE18" s="357" t="s">
        <v>645</v>
      </c>
      <c r="EF18" s="426" t="s">
        <v>776</v>
      </c>
      <c r="EG18" s="426">
        <v>2</v>
      </c>
      <c r="EH18" s="426">
        <v>33</v>
      </c>
      <c r="EI18" s="208" t="str">
        <f t="shared" si="2"/>
        <v>CLX100233</v>
      </c>
      <c r="EJ18" s="426">
        <v>577.70000000000005</v>
      </c>
      <c r="EK18" s="426">
        <v>1155.4000000000001</v>
      </c>
      <c r="EL18" s="426">
        <v>1733.1</v>
      </c>
      <c r="EM18" s="426">
        <v>2310.8000000000002</v>
      </c>
      <c r="EN18" s="426">
        <v>2888.5</v>
      </c>
      <c r="EO18" s="426">
        <v>3466.2</v>
      </c>
      <c r="EP18" s="426">
        <v>4043.9</v>
      </c>
      <c r="EQ18" s="426">
        <v>4621.6000000000004</v>
      </c>
      <c r="ER18" s="426">
        <v>5199.3</v>
      </c>
      <c r="ES18" s="426">
        <v>5777</v>
      </c>
      <c r="ET18" s="426">
        <v>5777</v>
      </c>
      <c r="EU18" s="426">
        <v>5777</v>
      </c>
      <c r="EV18" s="426">
        <v>5777</v>
      </c>
      <c r="EW18" s="426">
        <v>5777</v>
      </c>
      <c r="EX18" s="426">
        <v>5777</v>
      </c>
      <c r="EY18" s="426">
        <v>5777</v>
      </c>
      <c r="EZ18" s="426">
        <v>5777</v>
      </c>
      <c r="FA18" s="426">
        <v>5777</v>
      </c>
      <c r="FB18" s="426">
        <v>5777</v>
      </c>
      <c r="FC18" s="426">
        <v>5777</v>
      </c>
      <c r="FD18" s="426">
        <v>5777</v>
      </c>
      <c r="FE18" s="426">
        <v>5777</v>
      </c>
      <c r="FF18" s="426">
        <v>5777</v>
      </c>
      <c r="FG18" s="426">
        <v>5777</v>
      </c>
      <c r="FH18" s="426">
        <v>5777</v>
      </c>
      <c r="FI18" s="426">
        <v>5777</v>
      </c>
      <c r="FJ18" s="426">
        <v>5777</v>
      </c>
      <c r="FK18" s="426">
        <v>5777</v>
      </c>
      <c r="FL18" s="426">
        <v>5777</v>
      </c>
      <c r="FM18" s="426">
        <v>5777</v>
      </c>
      <c r="FN18" s="426">
        <v>5777</v>
      </c>
      <c r="FO18" s="426">
        <v>5777</v>
      </c>
      <c r="FP18" s="426">
        <v>5777</v>
      </c>
      <c r="FQ18" s="426">
        <v>5777</v>
      </c>
      <c r="FR18" s="426">
        <v>5777</v>
      </c>
      <c r="FS18" s="426">
        <v>5777</v>
      </c>
      <c r="FT18" s="426">
        <v>5777</v>
      </c>
      <c r="FU18" s="426">
        <v>5777</v>
      </c>
      <c r="FV18" s="426">
        <v>5777</v>
      </c>
      <c r="FW18" s="426">
        <v>5777</v>
      </c>
      <c r="FX18" s="426">
        <v>5777</v>
      </c>
      <c r="FY18" s="426">
        <v>5777</v>
      </c>
      <c r="FZ18" s="426">
        <v>5777</v>
      </c>
      <c r="GA18" s="426">
        <v>5777</v>
      </c>
      <c r="GB18" s="426">
        <v>5777</v>
      </c>
      <c r="GC18" s="426">
        <v>5777</v>
      </c>
      <c r="GD18" s="426">
        <v>5777</v>
      </c>
      <c r="GE18" s="426">
        <v>5777</v>
      </c>
      <c r="GF18" s="426">
        <v>5777</v>
      </c>
      <c r="GG18" s="426">
        <v>5777</v>
      </c>
      <c r="GH18" s="426">
        <v>5777</v>
      </c>
      <c r="GI18" s="426">
        <v>5777</v>
      </c>
      <c r="GJ18" s="426">
        <v>5777</v>
      </c>
      <c r="GK18" s="426">
        <v>5777</v>
      </c>
      <c r="GL18" s="426">
        <v>5777</v>
      </c>
      <c r="GM18" s="426">
        <v>5777</v>
      </c>
      <c r="GN18" s="426">
        <v>5777</v>
      </c>
      <c r="GO18" s="426">
        <v>0</v>
      </c>
      <c r="GP18" s="426">
        <v>0</v>
      </c>
      <c r="GQ18" s="426">
        <v>0</v>
      </c>
      <c r="GR18" s="426">
        <v>0</v>
      </c>
      <c r="GS18" s="426">
        <v>0</v>
      </c>
      <c r="GT18" s="426">
        <v>0</v>
      </c>
      <c r="GU18" s="426">
        <v>0</v>
      </c>
      <c r="GV18" s="426">
        <v>0</v>
      </c>
      <c r="GW18" s="426">
        <v>0</v>
      </c>
      <c r="GX18" s="426">
        <v>0</v>
      </c>
      <c r="GY18" s="426">
        <v>0</v>
      </c>
      <c r="GZ18" s="426">
        <v>0</v>
      </c>
      <c r="HA18" s="426">
        <v>0</v>
      </c>
      <c r="HB18" s="426">
        <v>0</v>
      </c>
      <c r="HC18" s="426">
        <v>0</v>
      </c>
      <c r="HD18" s="426">
        <v>0</v>
      </c>
      <c r="HE18" s="426">
        <v>0</v>
      </c>
      <c r="HF18" s="426">
        <v>0</v>
      </c>
      <c r="HG18" s="426">
        <v>0</v>
      </c>
      <c r="HH18" s="426">
        <v>0</v>
      </c>
      <c r="HI18" s="426">
        <v>0</v>
      </c>
      <c r="HJ18" s="426">
        <v>0</v>
      </c>
      <c r="HK18" s="426">
        <v>0</v>
      </c>
      <c r="HL18" s="426">
        <v>0</v>
      </c>
      <c r="HM18" s="426">
        <v>0</v>
      </c>
      <c r="HN18" s="426">
        <v>0</v>
      </c>
      <c r="HO18" s="426">
        <v>0</v>
      </c>
      <c r="HP18" s="426">
        <v>0</v>
      </c>
      <c r="HQ18" s="426">
        <v>0</v>
      </c>
      <c r="HR18" s="426">
        <v>0</v>
      </c>
      <c r="HS18" s="426">
        <v>0</v>
      </c>
      <c r="HT18" s="426">
        <v>0</v>
      </c>
      <c r="HU18" s="426">
        <v>0</v>
      </c>
      <c r="HV18" s="426">
        <v>0</v>
      </c>
      <c r="HW18" s="426">
        <v>0</v>
      </c>
      <c r="HX18" s="426">
        <v>0</v>
      </c>
      <c r="HY18" s="426">
        <v>0</v>
      </c>
      <c r="HZ18" s="426">
        <v>0</v>
      </c>
      <c r="IA18" s="426">
        <v>0</v>
      </c>
      <c r="IB18" s="426">
        <v>0</v>
      </c>
      <c r="IC18" s="426">
        <v>0</v>
      </c>
      <c r="ID18" s="426">
        <v>0</v>
      </c>
      <c r="IE18" s="426">
        <v>0</v>
      </c>
      <c r="IF18" s="426">
        <v>0</v>
      </c>
      <c r="IG18" s="426">
        <v>0</v>
      </c>
      <c r="IH18" s="426">
        <v>0</v>
      </c>
      <c r="II18" s="426">
        <v>0</v>
      </c>
      <c r="IJ18" s="426">
        <v>0</v>
      </c>
      <c r="IK18" s="426">
        <v>0</v>
      </c>
      <c r="IL18" s="426">
        <v>0</v>
      </c>
      <c r="IM18" s="426">
        <v>0</v>
      </c>
      <c r="IN18" s="426">
        <v>0</v>
      </c>
      <c r="IO18" s="426">
        <v>0</v>
      </c>
      <c r="IP18" s="426">
        <v>0</v>
      </c>
    </row>
    <row r="19" spans="1:250" ht="15">
      <c r="A19" s="357" t="s">
        <v>645</v>
      </c>
      <c r="B19" s="427" t="s">
        <v>776</v>
      </c>
      <c r="C19" s="427"/>
      <c r="D19" s="427"/>
      <c r="E19" s="427"/>
      <c r="F19" s="427">
        <v>2</v>
      </c>
      <c r="G19" s="427"/>
      <c r="H19" s="427">
        <v>34</v>
      </c>
      <c r="I19" s="427"/>
      <c r="J19" t="str">
        <f t="shared" si="0"/>
        <v>CLX100234</v>
      </c>
      <c r="K19" s="427">
        <v>555</v>
      </c>
      <c r="R19" s="357" t="s">
        <v>645</v>
      </c>
      <c r="S19" s="428" t="s">
        <v>776</v>
      </c>
      <c r="T19" s="428">
        <v>2</v>
      </c>
      <c r="U19" s="428">
        <v>34</v>
      </c>
      <c r="V19" s="208" t="str">
        <f t="shared" si="1"/>
        <v>CLX100234</v>
      </c>
      <c r="W19" s="428">
        <v>0</v>
      </c>
      <c r="X19" s="428">
        <v>0</v>
      </c>
      <c r="Y19" s="428">
        <v>0</v>
      </c>
      <c r="Z19" s="428">
        <v>0</v>
      </c>
      <c r="AA19" s="428">
        <v>0</v>
      </c>
      <c r="AB19" s="428">
        <v>0</v>
      </c>
      <c r="AC19" s="428">
        <v>0</v>
      </c>
      <c r="AD19" s="428">
        <v>0</v>
      </c>
      <c r="AE19" s="428">
        <v>0</v>
      </c>
      <c r="AF19" s="428">
        <v>0</v>
      </c>
      <c r="AG19" s="428">
        <v>0</v>
      </c>
      <c r="AH19" s="428">
        <v>0</v>
      </c>
      <c r="AI19" s="428">
        <v>0</v>
      </c>
      <c r="AJ19" s="428">
        <v>0</v>
      </c>
      <c r="AK19" s="428">
        <v>0</v>
      </c>
      <c r="AL19" s="428">
        <v>0</v>
      </c>
      <c r="AM19" s="428">
        <v>0</v>
      </c>
      <c r="AN19" s="428">
        <v>0</v>
      </c>
      <c r="AO19" s="428">
        <v>0</v>
      </c>
      <c r="AP19" s="428">
        <v>0</v>
      </c>
      <c r="AQ19" s="428">
        <v>0</v>
      </c>
      <c r="AR19" s="428">
        <v>0</v>
      </c>
      <c r="AS19" s="428">
        <v>0</v>
      </c>
      <c r="AT19" s="428">
        <v>0</v>
      </c>
      <c r="AU19" s="428">
        <v>0</v>
      </c>
      <c r="AV19" s="428">
        <v>0</v>
      </c>
      <c r="AW19" s="428">
        <v>0</v>
      </c>
      <c r="AX19" s="428">
        <v>0</v>
      </c>
      <c r="AY19" s="428">
        <v>0</v>
      </c>
      <c r="AZ19" s="428">
        <v>0</v>
      </c>
      <c r="BA19" s="428">
        <v>0</v>
      </c>
      <c r="BB19" s="428">
        <v>0</v>
      </c>
      <c r="BC19" s="428">
        <v>0</v>
      </c>
      <c r="BD19" s="428">
        <v>0</v>
      </c>
      <c r="BE19" s="428">
        <v>0</v>
      </c>
      <c r="BF19" s="428">
        <v>0</v>
      </c>
      <c r="BG19" s="428">
        <v>0</v>
      </c>
      <c r="BH19" s="428">
        <v>0</v>
      </c>
      <c r="BI19" s="428">
        <v>0</v>
      </c>
      <c r="BJ19" s="428">
        <v>0</v>
      </c>
      <c r="BK19" s="428">
        <v>0</v>
      </c>
      <c r="BL19" s="428">
        <v>0</v>
      </c>
      <c r="BM19" s="428">
        <v>0</v>
      </c>
      <c r="BN19" s="428">
        <v>0</v>
      </c>
      <c r="BO19" s="428">
        <v>0</v>
      </c>
      <c r="BP19" s="428">
        <v>0</v>
      </c>
      <c r="BQ19" s="428">
        <v>0</v>
      </c>
      <c r="BR19" s="428">
        <v>0</v>
      </c>
      <c r="BS19" s="428">
        <v>0</v>
      </c>
      <c r="BT19" s="428">
        <v>0</v>
      </c>
      <c r="BU19" s="428">
        <v>0</v>
      </c>
      <c r="BV19" s="428">
        <v>0</v>
      </c>
      <c r="BW19" s="428">
        <v>0</v>
      </c>
      <c r="BX19" s="428">
        <v>0</v>
      </c>
      <c r="BY19" s="428">
        <v>0</v>
      </c>
      <c r="BZ19" s="428">
        <v>5883.0000000000009</v>
      </c>
      <c r="CA19" s="428">
        <v>0</v>
      </c>
      <c r="CB19" s="428">
        <v>0</v>
      </c>
      <c r="CC19" s="428">
        <v>0</v>
      </c>
      <c r="CD19" s="428">
        <v>0</v>
      </c>
      <c r="CE19" s="428">
        <v>0</v>
      </c>
      <c r="CF19" s="428">
        <v>0</v>
      </c>
      <c r="CG19" s="428">
        <v>0</v>
      </c>
      <c r="CH19" s="428">
        <v>0</v>
      </c>
      <c r="CI19" s="428">
        <v>0</v>
      </c>
      <c r="CJ19" s="428">
        <v>0</v>
      </c>
      <c r="CK19" s="428">
        <v>0</v>
      </c>
      <c r="CL19" s="428">
        <v>0</v>
      </c>
      <c r="CM19" s="428">
        <v>0</v>
      </c>
      <c r="CN19" s="428">
        <v>0</v>
      </c>
      <c r="CO19" s="428">
        <v>0</v>
      </c>
      <c r="CP19" s="428">
        <v>0</v>
      </c>
      <c r="CQ19" s="428">
        <v>0</v>
      </c>
      <c r="CR19" s="428">
        <v>0</v>
      </c>
      <c r="CS19" s="428">
        <v>0</v>
      </c>
      <c r="CT19" s="428">
        <v>0</v>
      </c>
      <c r="CU19" s="428">
        <v>0</v>
      </c>
      <c r="CV19" s="428">
        <v>0</v>
      </c>
      <c r="CW19" s="428">
        <v>0</v>
      </c>
      <c r="CX19" s="428">
        <v>0</v>
      </c>
      <c r="CY19" s="428">
        <v>0</v>
      </c>
      <c r="CZ19" s="428">
        <v>0</v>
      </c>
      <c r="DA19" s="428">
        <v>0</v>
      </c>
      <c r="DB19" s="428">
        <v>0</v>
      </c>
      <c r="DC19" s="428">
        <v>0</v>
      </c>
      <c r="DD19" s="428">
        <v>0</v>
      </c>
      <c r="DE19" s="428">
        <v>0</v>
      </c>
      <c r="DF19" s="428">
        <v>0</v>
      </c>
      <c r="DG19" s="428">
        <v>0</v>
      </c>
      <c r="DH19" s="428">
        <v>0</v>
      </c>
      <c r="DI19" s="428">
        <v>0</v>
      </c>
      <c r="DJ19" s="428">
        <v>0</v>
      </c>
      <c r="DK19" s="428">
        <v>0</v>
      </c>
      <c r="DL19" s="428">
        <v>0</v>
      </c>
      <c r="DM19" s="428">
        <v>0</v>
      </c>
      <c r="DN19" s="428">
        <v>0</v>
      </c>
      <c r="DO19" s="428">
        <v>0</v>
      </c>
      <c r="DP19" s="428">
        <v>0</v>
      </c>
      <c r="DQ19" s="428">
        <v>0</v>
      </c>
      <c r="DR19" s="428">
        <v>0</v>
      </c>
      <c r="DS19" s="428">
        <v>0</v>
      </c>
      <c r="DT19" s="428">
        <v>0</v>
      </c>
      <c r="DU19" s="428">
        <v>0</v>
      </c>
      <c r="DV19" s="428">
        <v>0</v>
      </c>
      <c r="ED19" s="135"/>
      <c r="EE19" s="357" t="s">
        <v>645</v>
      </c>
      <c r="EF19" s="426" t="s">
        <v>776</v>
      </c>
      <c r="EG19" s="426">
        <v>2</v>
      </c>
      <c r="EH19" s="426">
        <v>34</v>
      </c>
      <c r="EI19" s="208" t="str">
        <f t="shared" si="2"/>
        <v>CLX100234</v>
      </c>
      <c r="EJ19" s="426">
        <v>588.29999999999995</v>
      </c>
      <c r="EK19" s="426">
        <v>1176.5999999999999</v>
      </c>
      <c r="EL19" s="426">
        <v>1764.9</v>
      </c>
      <c r="EM19" s="426">
        <v>2353.1999999999998</v>
      </c>
      <c r="EN19" s="426">
        <v>2941.5</v>
      </c>
      <c r="EO19" s="426">
        <v>3529.8</v>
      </c>
      <c r="EP19" s="426">
        <v>4118.1000000000004</v>
      </c>
      <c r="EQ19" s="426">
        <v>4706.3999999999996</v>
      </c>
      <c r="ER19" s="426">
        <v>5294.7</v>
      </c>
      <c r="ES19" s="426">
        <v>5883</v>
      </c>
      <c r="ET19" s="426">
        <v>5883</v>
      </c>
      <c r="EU19" s="426">
        <v>5883</v>
      </c>
      <c r="EV19" s="426">
        <v>5883</v>
      </c>
      <c r="EW19" s="426">
        <v>5883</v>
      </c>
      <c r="EX19" s="426">
        <v>5883</v>
      </c>
      <c r="EY19" s="426">
        <v>5883</v>
      </c>
      <c r="EZ19" s="426">
        <v>5883</v>
      </c>
      <c r="FA19" s="426">
        <v>5883</v>
      </c>
      <c r="FB19" s="426">
        <v>5883</v>
      </c>
      <c r="FC19" s="426">
        <v>5883</v>
      </c>
      <c r="FD19" s="426">
        <v>5883</v>
      </c>
      <c r="FE19" s="426">
        <v>5883</v>
      </c>
      <c r="FF19" s="426">
        <v>5883</v>
      </c>
      <c r="FG19" s="426">
        <v>5883</v>
      </c>
      <c r="FH19" s="426">
        <v>5883</v>
      </c>
      <c r="FI19" s="426">
        <v>5883</v>
      </c>
      <c r="FJ19" s="426">
        <v>5883</v>
      </c>
      <c r="FK19" s="426">
        <v>5883</v>
      </c>
      <c r="FL19" s="426">
        <v>5883</v>
      </c>
      <c r="FM19" s="426">
        <v>5883</v>
      </c>
      <c r="FN19" s="426">
        <v>5883</v>
      </c>
      <c r="FO19" s="426">
        <v>5883</v>
      </c>
      <c r="FP19" s="426">
        <v>5883</v>
      </c>
      <c r="FQ19" s="426">
        <v>5883</v>
      </c>
      <c r="FR19" s="426">
        <v>5883</v>
      </c>
      <c r="FS19" s="426">
        <v>5883</v>
      </c>
      <c r="FT19" s="426">
        <v>5883</v>
      </c>
      <c r="FU19" s="426">
        <v>5883</v>
      </c>
      <c r="FV19" s="426">
        <v>5883</v>
      </c>
      <c r="FW19" s="426">
        <v>5883</v>
      </c>
      <c r="FX19" s="426">
        <v>5883</v>
      </c>
      <c r="FY19" s="426">
        <v>5883</v>
      </c>
      <c r="FZ19" s="426">
        <v>5883</v>
      </c>
      <c r="GA19" s="426">
        <v>5883</v>
      </c>
      <c r="GB19" s="426">
        <v>5883</v>
      </c>
      <c r="GC19" s="426">
        <v>5883</v>
      </c>
      <c r="GD19" s="426">
        <v>5883</v>
      </c>
      <c r="GE19" s="426">
        <v>5883</v>
      </c>
      <c r="GF19" s="426">
        <v>5883</v>
      </c>
      <c r="GG19" s="426">
        <v>5883</v>
      </c>
      <c r="GH19" s="426">
        <v>5883</v>
      </c>
      <c r="GI19" s="426">
        <v>5883</v>
      </c>
      <c r="GJ19" s="426">
        <v>5883</v>
      </c>
      <c r="GK19" s="426">
        <v>5883</v>
      </c>
      <c r="GL19" s="426">
        <v>5883</v>
      </c>
      <c r="GM19" s="426">
        <v>5883</v>
      </c>
      <c r="GN19" s="426">
        <v>0</v>
      </c>
      <c r="GO19" s="426">
        <v>0</v>
      </c>
      <c r="GP19" s="426">
        <v>0</v>
      </c>
      <c r="GQ19" s="426">
        <v>0</v>
      </c>
      <c r="GR19" s="426">
        <v>0</v>
      </c>
      <c r="GS19" s="426">
        <v>0</v>
      </c>
      <c r="GT19" s="426">
        <v>0</v>
      </c>
      <c r="GU19" s="426">
        <v>0</v>
      </c>
      <c r="GV19" s="426">
        <v>0</v>
      </c>
      <c r="GW19" s="426">
        <v>0</v>
      </c>
      <c r="GX19" s="426">
        <v>0</v>
      </c>
      <c r="GY19" s="426">
        <v>0</v>
      </c>
      <c r="GZ19" s="426">
        <v>0</v>
      </c>
      <c r="HA19" s="426">
        <v>0</v>
      </c>
      <c r="HB19" s="426">
        <v>0</v>
      </c>
      <c r="HC19" s="426">
        <v>0</v>
      </c>
      <c r="HD19" s="426">
        <v>0</v>
      </c>
      <c r="HE19" s="426">
        <v>0</v>
      </c>
      <c r="HF19" s="426">
        <v>0</v>
      </c>
      <c r="HG19" s="426">
        <v>0</v>
      </c>
      <c r="HH19" s="426">
        <v>0</v>
      </c>
      <c r="HI19" s="426">
        <v>0</v>
      </c>
      <c r="HJ19" s="426">
        <v>0</v>
      </c>
      <c r="HK19" s="426">
        <v>0</v>
      </c>
      <c r="HL19" s="426">
        <v>0</v>
      </c>
      <c r="HM19" s="426">
        <v>0</v>
      </c>
      <c r="HN19" s="426">
        <v>0</v>
      </c>
      <c r="HO19" s="426">
        <v>0</v>
      </c>
      <c r="HP19" s="426">
        <v>0</v>
      </c>
      <c r="HQ19" s="426">
        <v>0</v>
      </c>
      <c r="HR19" s="426">
        <v>0</v>
      </c>
      <c r="HS19" s="426">
        <v>0</v>
      </c>
      <c r="HT19" s="426">
        <v>0</v>
      </c>
      <c r="HU19" s="426">
        <v>0</v>
      </c>
      <c r="HV19" s="426">
        <v>0</v>
      </c>
      <c r="HW19" s="426">
        <v>0</v>
      </c>
      <c r="HX19" s="426">
        <v>0</v>
      </c>
      <c r="HY19" s="426">
        <v>0</v>
      </c>
      <c r="HZ19" s="426">
        <v>0</v>
      </c>
      <c r="IA19" s="426">
        <v>0</v>
      </c>
      <c r="IB19" s="426">
        <v>0</v>
      </c>
      <c r="IC19" s="426">
        <v>0</v>
      </c>
      <c r="ID19" s="426">
        <v>0</v>
      </c>
      <c r="IE19" s="426">
        <v>0</v>
      </c>
      <c r="IF19" s="426">
        <v>0</v>
      </c>
      <c r="IG19" s="426">
        <v>0</v>
      </c>
      <c r="IH19" s="426">
        <v>0</v>
      </c>
      <c r="II19" s="426">
        <v>0</v>
      </c>
      <c r="IJ19" s="426">
        <v>0</v>
      </c>
      <c r="IK19" s="426">
        <v>0</v>
      </c>
      <c r="IL19" s="426">
        <v>0</v>
      </c>
      <c r="IM19" s="426">
        <v>0</v>
      </c>
      <c r="IN19" s="426">
        <v>0</v>
      </c>
      <c r="IO19" s="426">
        <v>0</v>
      </c>
      <c r="IP19" s="426">
        <v>0</v>
      </c>
    </row>
    <row r="20" spans="1:250" ht="15">
      <c r="A20" s="357" t="s">
        <v>645</v>
      </c>
      <c r="B20" s="427" t="s">
        <v>776</v>
      </c>
      <c r="C20" s="427"/>
      <c r="D20" s="427"/>
      <c r="E20" s="427"/>
      <c r="F20" s="427">
        <v>2</v>
      </c>
      <c r="G20" s="427"/>
      <c r="H20" s="427">
        <v>35</v>
      </c>
      <c r="I20" s="427"/>
      <c r="J20" t="str">
        <f t="shared" si="0"/>
        <v>CLX100235</v>
      </c>
      <c r="K20" s="427">
        <v>565</v>
      </c>
      <c r="R20" s="357" t="s">
        <v>645</v>
      </c>
      <c r="S20" s="428" t="s">
        <v>776</v>
      </c>
      <c r="T20" s="428">
        <v>2</v>
      </c>
      <c r="U20" s="428">
        <v>35</v>
      </c>
      <c r="V20" s="208" t="str">
        <f t="shared" si="1"/>
        <v>CLX100235</v>
      </c>
      <c r="W20" s="428">
        <v>0</v>
      </c>
      <c r="X20" s="428">
        <v>0</v>
      </c>
      <c r="Y20" s="428">
        <v>0</v>
      </c>
      <c r="Z20" s="428">
        <v>0</v>
      </c>
      <c r="AA20" s="428">
        <v>0</v>
      </c>
      <c r="AB20" s="428">
        <v>0</v>
      </c>
      <c r="AC20" s="428">
        <v>0</v>
      </c>
      <c r="AD20" s="428">
        <v>0</v>
      </c>
      <c r="AE20" s="428">
        <v>0</v>
      </c>
      <c r="AF20" s="428">
        <v>0</v>
      </c>
      <c r="AG20" s="428">
        <v>0</v>
      </c>
      <c r="AH20" s="428">
        <v>0</v>
      </c>
      <c r="AI20" s="428">
        <v>0</v>
      </c>
      <c r="AJ20" s="428">
        <v>0</v>
      </c>
      <c r="AK20" s="428">
        <v>0</v>
      </c>
      <c r="AL20" s="428">
        <v>0</v>
      </c>
      <c r="AM20" s="428">
        <v>0</v>
      </c>
      <c r="AN20" s="428">
        <v>0</v>
      </c>
      <c r="AO20" s="428">
        <v>0</v>
      </c>
      <c r="AP20" s="428">
        <v>0</v>
      </c>
      <c r="AQ20" s="428">
        <v>0</v>
      </c>
      <c r="AR20" s="428">
        <v>0</v>
      </c>
      <c r="AS20" s="428">
        <v>0</v>
      </c>
      <c r="AT20" s="428">
        <v>0</v>
      </c>
      <c r="AU20" s="428">
        <v>0</v>
      </c>
      <c r="AV20" s="428">
        <v>0</v>
      </c>
      <c r="AW20" s="428">
        <v>0</v>
      </c>
      <c r="AX20" s="428">
        <v>0</v>
      </c>
      <c r="AY20" s="428">
        <v>0</v>
      </c>
      <c r="AZ20" s="428">
        <v>0</v>
      </c>
      <c r="BA20" s="428">
        <v>0</v>
      </c>
      <c r="BB20" s="428">
        <v>0</v>
      </c>
      <c r="BC20" s="428">
        <v>0</v>
      </c>
      <c r="BD20" s="428">
        <v>0</v>
      </c>
      <c r="BE20" s="428">
        <v>0</v>
      </c>
      <c r="BF20" s="428">
        <v>0</v>
      </c>
      <c r="BG20" s="428">
        <v>0</v>
      </c>
      <c r="BH20" s="428">
        <v>0</v>
      </c>
      <c r="BI20" s="428">
        <v>0</v>
      </c>
      <c r="BJ20" s="428">
        <v>0</v>
      </c>
      <c r="BK20" s="428">
        <v>0</v>
      </c>
      <c r="BL20" s="428">
        <v>0</v>
      </c>
      <c r="BM20" s="428">
        <v>0</v>
      </c>
      <c r="BN20" s="428">
        <v>0</v>
      </c>
      <c r="BO20" s="428">
        <v>0</v>
      </c>
      <c r="BP20" s="428">
        <v>0</v>
      </c>
      <c r="BQ20" s="428">
        <v>0</v>
      </c>
      <c r="BR20" s="428">
        <v>0</v>
      </c>
      <c r="BS20" s="428">
        <v>0</v>
      </c>
      <c r="BT20" s="428">
        <v>0</v>
      </c>
      <c r="BU20" s="428">
        <v>0</v>
      </c>
      <c r="BV20" s="428">
        <v>0</v>
      </c>
      <c r="BW20" s="428">
        <v>0</v>
      </c>
      <c r="BX20" s="428">
        <v>0</v>
      </c>
      <c r="BY20" s="428">
        <v>5989</v>
      </c>
      <c r="BZ20" s="428">
        <v>0</v>
      </c>
      <c r="CA20" s="428">
        <v>0</v>
      </c>
      <c r="CB20" s="428">
        <v>0</v>
      </c>
      <c r="CC20" s="428">
        <v>0</v>
      </c>
      <c r="CD20" s="428">
        <v>0</v>
      </c>
      <c r="CE20" s="428">
        <v>0</v>
      </c>
      <c r="CF20" s="428">
        <v>0</v>
      </c>
      <c r="CG20" s="428">
        <v>0</v>
      </c>
      <c r="CH20" s="428">
        <v>0</v>
      </c>
      <c r="CI20" s="428">
        <v>0</v>
      </c>
      <c r="CJ20" s="428">
        <v>0</v>
      </c>
      <c r="CK20" s="428">
        <v>0</v>
      </c>
      <c r="CL20" s="428">
        <v>0</v>
      </c>
      <c r="CM20" s="428">
        <v>0</v>
      </c>
      <c r="CN20" s="428">
        <v>0</v>
      </c>
      <c r="CO20" s="428">
        <v>0</v>
      </c>
      <c r="CP20" s="428">
        <v>0</v>
      </c>
      <c r="CQ20" s="428">
        <v>0</v>
      </c>
      <c r="CR20" s="428">
        <v>0</v>
      </c>
      <c r="CS20" s="428">
        <v>0</v>
      </c>
      <c r="CT20" s="428">
        <v>0</v>
      </c>
      <c r="CU20" s="428">
        <v>0</v>
      </c>
      <c r="CV20" s="428">
        <v>0</v>
      </c>
      <c r="CW20" s="428">
        <v>0</v>
      </c>
      <c r="CX20" s="428">
        <v>0</v>
      </c>
      <c r="CY20" s="428">
        <v>0</v>
      </c>
      <c r="CZ20" s="428">
        <v>0</v>
      </c>
      <c r="DA20" s="428">
        <v>0</v>
      </c>
      <c r="DB20" s="428">
        <v>0</v>
      </c>
      <c r="DC20" s="428">
        <v>0</v>
      </c>
      <c r="DD20" s="428">
        <v>0</v>
      </c>
      <c r="DE20" s="428">
        <v>0</v>
      </c>
      <c r="DF20" s="428">
        <v>0</v>
      </c>
      <c r="DG20" s="428">
        <v>0</v>
      </c>
      <c r="DH20" s="428">
        <v>0</v>
      </c>
      <c r="DI20" s="428">
        <v>0</v>
      </c>
      <c r="DJ20" s="428">
        <v>0</v>
      </c>
      <c r="DK20" s="428">
        <v>0</v>
      </c>
      <c r="DL20" s="428">
        <v>0</v>
      </c>
      <c r="DM20" s="428">
        <v>0</v>
      </c>
      <c r="DN20" s="428">
        <v>0</v>
      </c>
      <c r="DO20" s="428">
        <v>0</v>
      </c>
      <c r="DP20" s="428">
        <v>0</v>
      </c>
      <c r="DQ20" s="428">
        <v>0</v>
      </c>
      <c r="DR20" s="428">
        <v>0</v>
      </c>
      <c r="DS20" s="428">
        <v>0</v>
      </c>
      <c r="DT20" s="428">
        <v>0</v>
      </c>
      <c r="DU20" s="428">
        <v>0</v>
      </c>
      <c r="DV20" s="428">
        <v>0</v>
      </c>
      <c r="ED20" s="135"/>
      <c r="EE20" s="357" t="s">
        <v>645</v>
      </c>
      <c r="EF20" s="426" t="s">
        <v>776</v>
      </c>
      <c r="EG20" s="426">
        <v>2</v>
      </c>
      <c r="EH20" s="426">
        <v>35</v>
      </c>
      <c r="EI20" s="208" t="str">
        <f t="shared" si="2"/>
        <v>CLX100235</v>
      </c>
      <c r="EJ20" s="426">
        <v>598.9</v>
      </c>
      <c r="EK20" s="426">
        <v>1197.8</v>
      </c>
      <c r="EL20" s="426">
        <v>1796.7</v>
      </c>
      <c r="EM20" s="426">
        <v>2395.6</v>
      </c>
      <c r="EN20" s="426">
        <v>2994.5</v>
      </c>
      <c r="EO20" s="426">
        <v>3593.4</v>
      </c>
      <c r="EP20" s="426">
        <v>4192.3</v>
      </c>
      <c r="EQ20" s="426">
        <v>4791.2</v>
      </c>
      <c r="ER20" s="426">
        <v>5390.1</v>
      </c>
      <c r="ES20" s="426">
        <v>5989</v>
      </c>
      <c r="ET20" s="426">
        <v>5989</v>
      </c>
      <c r="EU20" s="426">
        <v>5989</v>
      </c>
      <c r="EV20" s="426">
        <v>5989</v>
      </c>
      <c r="EW20" s="426">
        <v>5989</v>
      </c>
      <c r="EX20" s="426">
        <v>5989</v>
      </c>
      <c r="EY20" s="426">
        <v>5989</v>
      </c>
      <c r="EZ20" s="426">
        <v>5989</v>
      </c>
      <c r="FA20" s="426">
        <v>5989</v>
      </c>
      <c r="FB20" s="426">
        <v>5989</v>
      </c>
      <c r="FC20" s="426">
        <v>5989</v>
      </c>
      <c r="FD20" s="426">
        <v>5989</v>
      </c>
      <c r="FE20" s="426">
        <v>5989</v>
      </c>
      <c r="FF20" s="426">
        <v>5989</v>
      </c>
      <c r="FG20" s="426">
        <v>5989</v>
      </c>
      <c r="FH20" s="426">
        <v>5989</v>
      </c>
      <c r="FI20" s="426">
        <v>5989</v>
      </c>
      <c r="FJ20" s="426">
        <v>5989</v>
      </c>
      <c r="FK20" s="426">
        <v>5989</v>
      </c>
      <c r="FL20" s="426">
        <v>5989</v>
      </c>
      <c r="FM20" s="426">
        <v>5989</v>
      </c>
      <c r="FN20" s="426">
        <v>5989</v>
      </c>
      <c r="FO20" s="426">
        <v>5989</v>
      </c>
      <c r="FP20" s="426">
        <v>5989</v>
      </c>
      <c r="FQ20" s="426">
        <v>5989</v>
      </c>
      <c r="FR20" s="426">
        <v>5989</v>
      </c>
      <c r="FS20" s="426">
        <v>5989</v>
      </c>
      <c r="FT20" s="426">
        <v>5989</v>
      </c>
      <c r="FU20" s="426">
        <v>5989</v>
      </c>
      <c r="FV20" s="426">
        <v>5989</v>
      </c>
      <c r="FW20" s="426">
        <v>5989</v>
      </c>
      <c r="FX20" s="426">
        <v>5989</v>
      </c>
      <c r="FY20" s="426">
        <v>5989</v>
      </c>
      <c r="FZ20" s="426">
        <v>5989</v>
      </c>
      <c r="GA20" s="426">
        <v>5989</v>
      </c>
      <c r="GB20" s="426">
        <v>5989</v>
      </c>
      <c r="GC20" s="426">
        <v>5989</v>
      </c>
      <c r="GD20" s="426">
        <v>5989</v>
      </c>
      <c r="GE20" s="426">
        <v>5989</v>
      </c>
      <c r="GF20" s="426">
        <v>5989</v>
      </c>
      <c r="GG20" s="426">
        <v>5989</v>
      </c>
      <c r="GH20" s="426">
        <v>5989</v>
      </c>
      <c r="GI20" s="426">
        <v>5989</v>
      </c>
      <c r="GJ20" s="426">
        <v>5989</v>
      </c>
      <c r="GK20" s="426">
        <v>5989</v>
      </c>
      <c r="GL20" s="426">
        <v>5989</v>
      </c>
      <c r="GM20" s="426">
        <v>0</v>
      </c>
      <c r="GN20" s="426">
        <v>0</v>
      </c>
      <c r="GO20" s="426">
        <v>0</v>
      </c>
      <c r="GP20" s="426">
        <v>0</v>
      </c>
      <c r="GQ20" s="426">
        <v>0</v>
      </c>
      <c r="GR20" s="426">
        <v>0</v>
      </c>
      <c r="GS20" s="426">
        <v>0</v>
      </c>
      <c r="GT20" s="426">
        <v>0</v>
      </c>
      <c r="GU20" s="426">
        <v>0</v>
      </c>
      <c r="GV20" s="426">
        <v>0</v>
      </c>
      <c r="GW20" s="426">
        <v>0</v>
      </c>
      <c r="GX20" s="426">
        <v>0</v>
      </c>
      <c r="GY20" s="426">
        <v>0</v>
      </c>
      <c r="GZ20" s="426">
        <v>0</v>
      </c>
      <c r="HA20" s="426">
        <v>0</v>
      </c>
      <c r="HB20" s="426">
        <v>0</v>
      </c>
      <c r="HC20" s="426">
        <v>0</v>
      </c>
      <c r="HD20" s="426">
        <v>0</v>
      </c>
      <c r="HE20" s="426">
        <v>0</v>
      </c>
      <c r="HF20" s="426">
        <v>0</v>
      </c>
      <c r="HG20" s="426">
        <v>0</v>
      </c>
      <c r="HH20" s="426">
        <v>0</v>
      </c>
      <c r="HI20" s="426">
        <v>0</v>
      </c>
      <c r="HJ20" s="426">
        <v>0</v>
      </c>
      <c r="HK20" s="426">
        <v>0</v>
      </c>
      <c r="HL20" s="426">
        <v>0</v>
      </c>
      <c r="HM20" s="426">
        <v>0</v>
      </c>
      <c r="HN20" s="426">
        <v>0</v>
      </c>
      <c r="HO20" s="426">
        <v>0</v>
      </c>
      <c r="HP20" s="426">
        <v>0</v>
      </c>
      <c r="HQ20" s="426">
        <v>0</v>
      </c>
      <c r="HR20" s="426">
        <v>0</v>
      </c>
      <c r="HS20" s="426">
        <v>0</v>
      </c>
      <c r="HT20" s="426">
        <v>0</v>
      </c>
      <c r="HU20" s="426">
        <v>0</v>
      </c>
      <c r="HV20" s="426">
        <v>0</v>
      </c>
      <c r="HW20" s="426">
        <v>0</v>
      </c>
      <c r="HX20" s="426">
        <v>0</v>
      </c>
      <c r="HY20" s="426">
        <v>0</v>
      </c>
      <c r="HZ20" s="426">
        <v>0</v>
      </c>
      <c r="IA20" s="426">
        <v>0</v>
      </c>
      <c r="IB20" s="426">
        <v>0</v>
      </c>
      <c r="IC20" s="426">
        <v>0</v>
      </c>
      <c r="ID20" s="426">
        <v>0</v>
      </c>
      <c r="IE20" s="426">
        <v>0</v>
      </c>
      <c r="IF20" s="426">
        <v>0</v>
      </c>
      <c r="IG20" s="426">
        <v>0</v>
      </c>
      <c r="IH20" s="426">
        <v>0</v>
      </c>
      <c r="II20" s="426">
        <v>0</v>
      </c>
      <c r="IJ20" s="426">
        <v>0</v>
      </c>
      <c r="IK20" s="426">
        <v>0</v>
      </c>
      <c r="IL20" s="426">
        <v>0</v>
      </c>
      <c r="IM20" s="426">
        <v>0</v>
      </c>
      <c r="IN20" s="426">
        <v>0</v>
      </c>
      <c r="IO20" s="426">
        <v>0</v>
      </c>
      <c r="IP20" s="426">
        <v>0</v>
      </c>
    </row>
    <row r="21" spans="1:250" ht="15">
      <c r="A21" s="357" t="s">
        <v>645</v>
      </c>
      <c r="B21" s="427" t="s">
        <v>776</v>
      </c>
      <c r="C21" s="427"/>
      <c r="D21" s="427"/>
      <c r="E21" s="427"/>
      <c r="F21" s="427">
        <v>2</v>
      </c>
      <c r="G21" s="427"/>
      <c r="H21" s="427">
        <v>36</v>
      </c>
      <c r="I21" s="427"/>
      <c r="J21" t="str">
        <f t="shared" si="0"/>
        <v>CLX100236</v>
      </c>
      <c r="K21" s="427">
        <v>575</v>
      </c>
      <c r="R21" s="357" t="s">
        <v>645</v>
      </c>
      <c r="S21" s="428" t="s">
        <v>776</v>
      </c>
      <c r="T21" s="428">
        <v>2</v>
      </c>
      <c r="U21" s="428">
        <v>36</v>
      </c>
      <c r="V21" s="208" t="str">
        <f t="shared" si="1"/>
        <v>CLX100236</v>
      </c>
      <c r="W21" s="428">
        <v>0</v>
      </c>
      <c r="X21" s="428">
        <v>0</v>
      </c>
      <c r="Y21" s="428">
        <v>0</v>
      </c>
      <c r="Z21" s="428">
        <v>0</v>
      </c>
      <c r="AA21" s="428">
        <v>0</v>
      </c>
      <c r="AB21" s="428">
        <v>0</v>
      </c>
      <c r="AC21" s="428">
        <v>0</v>
      </c>
      <c r="AD21" s="428">
        <v>0</v>
      </c>
      <c r="AE21" s="428">
        <v>0</v>
      </c>
      <c r="AF21" s="428">
        <v>0</v>
      </c>
      <c r="AG21" s="428">
        <v>0</v>
      </c>
      <c r="AH21" s="428">
        <v>0</v>
      </c>
      <c r="AI21" s="428">
        <v>0</v>
      </c>
      <c r="AJ21" s="428">
        <v>0</v>
      </c>
      <c r="AK21" s="428">
        <v>0</v>
      </c>
      <c r="AL21" s="428">
        <v>0</v>
      </c>
      <c r="AM21" s="428">
        <v>0</v>
      </c>
      <c r="AN21" s="428">
        <v>0</v>
      </c>
      <c r="AO21" s="428">
        <v>0</v>
      </c>
      <c r="AP21" s="428">
        <v>0</v>
      </c>
      <c r="AQ21" s="428">
        <v>0</v>
      </c>
      <c r="AR21" s="428">
        <v>0</v>
      </c>
      <c r="AS21" s="428">
        <v>0</v>
      </c>
      <c r="AT21" s="428">
        <v>0</v>
      </c>
      <c r="AU21" s="428">
        <v>0</v>
      </c>
      <c r="AV21" s="428">
        <v>0</v>
      </c>
      <c r="AW21" s="428">
        <v>0</v>
      </c>
      <c r="AX21" s="428">
        <v>0</v>
      </c>
      <c r="AY21" s="428">
        <v>0</v>
      </c>
      <c r="AZ21" s="428">
        <v>0</v>
      </c>
      <c r="BA21" s="428">
        <v>0</v>
      </c>
      <c r="BB21" s="428">
        <v>0</v>
      </c>
      <c r="BC21" s="428">
        <v>0</v>
      </c>
      <c r="BD21" s="428">
        <v>0</v>
      </c>
      <c r="BE21" s="428">
        <v>0</v>
      </c>
      <c r="BF21" s="428">
        <v>0</v>
      </c>
      <c r="BG21" s="428">
        <v>0</v>
      </c>
      <c r="BH21" s="428">
        <v>0</v>
      </c>
      <c r="BI21" s="428">
        <v>0</v>
      </c>
      <c r="BJ21" s="428">
        <v>0</v>
      </c>
      <c r="BK21" s="428">
        <v>0</v>
      </c>
      <c r="BL21" s="428">
        <v>0</v>
      </c>
      <c r="BM21" s="428">
        <v>0</v>
      </c>
      <c r="BN21" s="428">
        <v>0</v>
      </c>
      <c r="BO21" s="428">
        <v>0</v>
      </c>
      <c r="BP21" s="428">
        <v>0</v>
      </c>
      <c r="BQ21" s="428">
        <v>0</v>
      </c>
      <c r="BR21" s="428">
        <v>0</v>
      </c>
      <c r="BS21" s="428">
        <v>0</v>
      </c>
      <c r="BT21" s="428">
        <v>0</v>
      </c>
      <c r="BU21" s="428">
        <v>0</v>
      </c>
      <c r="BV21" s="428">
        <v>0</v>
      </c>
      <c r="BW21" s="428">
        <v>0</v>
      </c>
      <c r="BX21" s="428">
        <v>6095</v>
      </c>
      <c r="BY21" s="428">
        <v>0</v>
      </c>
      <c r="BZ21" s="428">
        <v>0</v>
      </c>
      <c r="CA21" s="428">
        <v>0</v>
      </c>
      <c r="CB21" s="428">
        <v>0</v>
      </c>
      <c r="CC21" s="428">
        <v>0</v>
      </c>
      <c r="CD21" s="428">
        <v>0</v>
      </c>
      <c r="CE21" s="428">
        <v>0</v>
      </c>
      <c r="CF21" s="428">
        <v>0</v>
      </c>
      <c r="CG21" s="428">
        <v>0</v>
      </c>
      <c r="CH21" s="428">
        <v>0</v>
      </c>
      <c r="CI21" s="428">
        <v>0</v>
      </c>
      <c r="CJ21" s="428">
        <v>0</v>
      </c>
      <c r="CK21" s="428">
        <v>0</v>
      </c>
      <c r="CL21" s="428">
        <v>0</v>
      </c>
      <c r="CM21" s="428">
        <v>0</v>
      </c>
      <c r="CN21" s="428">
        <v>0</v>
      </c>
      <c r="CO21" s="428">
        <v>0</v>
      </c>
      <c r="CP21" s="428">
        <v>0</v>
      </c>
      <c r="CQ21" s="428">
        <v>0</v>
      </c>
      <c r="CR21" s="428">
        <v>0</v>
      </c>
      <c r="CS21" s="428">
        <v>0</v>
      </c>
      <c r="CT21" s="428">
        <v>0</v>
      </c>
      <c r="CU21" s="428">
        <v>0</v>
      </c>
      <c r="CV21" s="428">
        <v>0</v>
      </c>
      <c r="CW21" s="428">
        <v>0</v>
      </c>
      <c r="CX21" s="428">
        <v>0</v>
      </c>
      <c r="CY21" s="428">
        <v>0</v>
      </c>
      <c r="CZ21" s="428">
        <v>0</v>
      </c>
      <c r="DA21" s="428">
        <v>0</v>
      </c>
      <c r="DB21" s="428">
        <v>0</v>
      </c>
      <c r="DC21" s="428">
        <v>0</v>
      </c>
      <c r="DD21" s="428">
        <v>0</v>
      </c>
      <c r="DE21" s="428">
        <v>0</v>
      </c>
      <c r="DF21" s="428">
        <v>0</v>
      </c>
      <c r="DG21" s="428">
        <v>0</v>
      </c>
      <c r="DH21" s="428">
        <v>0</v>
      </c>
      <c r="DI21" s="428">
        <v>0</v>
      </c>
      <c r="DJ21" s="428">
        <v>0</v>
      </c>
      <c r="DK21" s="428">
        <v>0</v>
      </c>
      <c r="DL21" s="428">
        <v>0</v>
      </c>
      <c r="DM21" s="428">
        <v>0</v>
      </c>
      <c r="DN21" s="428">
        <v>0</v>
      </c>
      <c r="DO21" s="428">
        <v>0</v>
      </c>
      <c r="DP21" s="428">
        <v>0</v>
      </c>
      <c r="DQ21" s="428">
        <v>0</v>
      </c>
      <c r="DR21" s="428">
        <v>0</v>
      </c>
      <c r="DS21" s="428">
        <v>0</v>
      </c>
      <c r="DT21" s="428">
        <v>0</v>
      </c>
      <c r="DU21" s="428">
        <v>0</v>
      </c>
      <c r="DV21" s="428">
        <v>0</v>
      </c>
      <c r="ED21" s="135"/>
      <c r="EE21" s="357" t="s">
        <v>645</v>
      </c>
      <c r="EF21" s="426" t="s">
        <v>776</v>
      </c>
      <c r="EG21" s="426">
        <v>2</v>
      </c>
      <c r="EH21" s="426">
        <v>36</v>
      </c>
      <c r="EI21" s="208" t="str">
        <f t="shared" si="2"/>
        <v>CLX100236</v>
      </c>
      <c r="EJ21" s="426">
        <v>609.5</v>
      </c>
      <c r="EK21" s="426">
        <v>1219</v>
      </c>
      <c r="EL21" s="426">
        <v>1828.5</v>
      </c>
      <c r="EM21" s="426">
        <v>2438</v>
      </c>
      <c r="EN21" s="426">
        <v>3047.5</v>
      </c>
      <c r="EO21" s="426">
        <v>3657</v>
      </c>
      <c r="EP21" s="426">
        <v>4266.5</v>
      </c>
      <c r="EQ21" s="426">
        <v>4876</v>
      </c>
      <c r="ER21" s="426">
        <v>5485.5</v>
      </c>
      <c r="ES21" s="426">
        <v>6095</v>
      </c>
      <c r="ET21" s="426">
        <v>6095</v>
      </c>
      <c r="EU21" s="426">
        <v>6095</v>
      </c>
      <c r="EV21" s="426">
        <v>6095</v>
      </c>
      <c r="EW21" s="426">
        <v>6095</v>
      </c>
      <c r="EX21" s="426">
        <v>6095</v>
      </c>
      <c r="EY21" s="426">
        <v>6095</v>
      </c>
      <c r="EZ21" s="426">
        <v>6095</v>
      </c>
      <c r="FA21" s="426">
        <v>6095</v>
      </c>
      <c r="FB21" s="426">
        <v>6095</v>
      </c>
      <c r="FC21" s="426">
        <v>6095</v>
      </c>
      <c r="FD21" s="426">
        <v>6095</v>
      </c>
      <c r="FE21" s="426">
        <v>6095</v>
      </c>
      <c r="FF21" s="426">
        <v>6095</v>
      </c>
      <c r="FG21" s="426">
        <v>6095</v>
      </c>
      <c r="FH21" s="426">
        <v>6095</v>
      </c>
      <c r="FI21" s="426">
        <v>6095</v>
      </c>
      <c r="FJ21" s="426">
        <v>6095</v>
      </c>
      <c r="FK21" s="426">
        <v>6095</v>
      </c>
      <c r="FL21" s="426">
        <v>6095</v>
      </c>
      <c r="FM21" s="426">
        <v>6095</v>
      </c>
      <c r="FN21" s="426">
        <v>6095</v>
      </c>
      <c r="FO21" s="426">
        <v>6095</v>
      </c>
      <c r="FP21" s="426">
        <v>6095</v>
      </c>
      <c r="FQ21" s="426">
        <v>6095</v>
      </c>
      <c r="FR21" s="426">
        <v>6095</v>
      </c>
      <c r="FS21" s="426">
        <v>6095</v>
      </c>
      <c r="FT21" s="426">
        <v>6095</v>
      </c>
      <c r="FU21" s="426">
        <v>6095</v>
      </c>
      <c r="FV21" s="426">
        <v>6095</v>
      </c>
      <c r="FW21" s="426">
        <v>6095</v>
      </c>
      <c r="FX21" s="426">
        <v>6095</v>
      </c>
      <c r="FY21" s="426">
        <v>6095</v>
      </c>
      <c r="FZ21" s="426">
        <v>6095</v>
      </c>
      <c r="GA21" s="426">
        <v>6095</v>
      </c>
      <c r="GB21" s="426">
        <v>6095</v>
      </c>
      <c r="GC21" s="426">
        <v>6095</v>
      </c>
      <c r="GD21" s="426">
        <v>6095</v>
      </c>
      <c r="GE21" s="426">
        <v>6095</v>
      </c>
      <c r="GF21" s="426">
        <v>6095</v>
      </c>
      <c r="GG21" s="426">
        <v>6095</v>
      </c>
      <c r="GH21" s="426">
        <v>6095</v>
      </c>
      <c r="GI21" s="426">
        <v>6095</v>
      </c>
      <c r="GJ21" s="426">
        <v>6095</v>
      </c>
      <c r="GK21" s="426">
        <v>6095</v>
      </c>
      <c r="GL21" s="426">
        <v>0</v>
      </c>
      <c r="GM21" s="426">
        <v>0</v>
      </c>
      <c r="GN21" s="426">
        <v>0</v>
      </c>
      <c r="GO21" s="426">
        <v>0</v>
      </c>
      <c r="GP21" s="426">
        <v>0</v>
      </c>
      <c r="GQ21" s="426">
        <v>0</v>
      </c>
      <c r="GR21" s="426">
        <v>0</v>
      </c>
      <c r="GS21" s="426">
        <v>0</v>
      </c>
      <c r="GT21" s="426">
        <v>0</v>
      </c>
      <c r="GU21" s="426">
        <v>0</v>
      </c>
      <c r="GV21" s="426">
        <v>0</v>
      </c>
      <c r="GW21" s="426">
        <v>0</v>
      </c>
      <c r="GX21" s="426">
        <v>0</v>
      </c>
      <c r="GY21" s="426">
        <v>0</v>
      </c>
      <c r="GZ21" s="426">
        <v>0</v>
      </c>
      <c r="HA21" s="426">
        <v>0</v>
      </c>
      <c r="HB21" s="426">
        <v>0</v>
      </c>
      <c r="HC21" s="426">
        <v>0</v>
      </c>
      <c r="HD21" s="426">
        <v>0</v>
      </c>
      <c r="HE21" s="426">
        <v>0</v>
      </c>
      <c r="HF21" s="426">
        <v>0</v>
      </c>
      <c r="HG21" s="426">
        <v>0</v>
      </c>
      <c r="HH21" s="426">
        <v>0</v>
      </c>
      <c r="HI21" s="426">
        <v>0</v>
      </c>
      <c r="HJ21" s="426">
        <v>0</v>
      </c>
      <c r="HK21" s="426">
        <v>0</v>
      </c>
      <c r="HL21" s="426">
        <v>0</v>
      </c>
      <c r="HM21" s="426">
        <v>0</v>
      </c>
      <c r="HN21" s="426">
        <v>0</v>
      </c>
      <c r="HO21" s="426">
        <v>0</v>
      </c>
      <c r="HP21" s="426">
        <v>0</v>
      </c>
      <c r="HQ21" s="426">
        <v>0</v>
      </c>
      <c r="HR21" s="426">
        <v>0</v>
      </c>
      <c r="HS21" s="426">
        <v>0</v>
      </c>
      <c r="HT21" s="426">
        <v>0</v>
      </c>
      <c r="HU21" s="426">
        <v>0</v>
      </c>
      <c r="HV21" s="426">
        <v>0</v>
      </c>
      <c r="HW21" s="426">
        <v>0</v>
      </c>
      <c r="HX21" s="426">
        <v>0</v>
      </c>
      <c r="HY21" s="426">
        <v>0</v>
      </c>
      <c r="HZ21" s="426">
        <v>0</v>
      </c>
      <c r="IA21" s="426">
        <v>0</v>
      </c>
      <c r="IB21" s="426">
        <v>0</v>
      </c>
      <c r="IC21" s="426">
        <v>0</v>
      </c>
      <c r="ID21" s="426">
        <v>0</v>
      </c>
      <c r="IE21" s="426">
        <v>0</v>
      </c>
      <c r="IF21" s="426">
        <v>0</v>
      </c>
      <c r="IG21" s="426">
        <v>0</v>
      </c>
      <c r="IH21" s="426">
        <v>0</v>
      </c>
      <c r="II21" s="426">
        <v>0</v>
      </c>
      <c r="IJ21" s="426">
        <v>0</v>
      </c>
      <c r="IK21" s="426">
        <v>0</v>
      </c>
      <c r="IL21" s="426">
        <v>0</v>
      </c>
      <c r="IM21" s="426">
        <v>0</v>
      </c>
      <c r="IN21" s="426">
        <v>0</v>
      </c>
      <c r="IO21" s="426">
        <v>0</v>
      </c>
      <c r="IP21" s="426">
        <v>0</v>
      </c>
    </row>
    <row r="22" spans="1:250" ht="15">
      <c r="A22" s="357" t="s">
        <v>645</v>
      </c>
      <c r="B22" s="427" t="s">
        <v>776</v>
      </c>
      <c r="C22" s="427"/>
      <c r="D22" s="427"/>
      <c r="E22" s="427"/>
      <c r="F22" s="427">
        <v>2</v>
      </c>
      <c r="G22" s="427"/>
      <c r="H22" s="427">
        <v>37</v>
      </c>
      <c r="I22" s="427"/>
      <c r="J22" t="str">
        <f t="shared" si="0"/>
        <v>CLX100237</v>
      </c>
      <c r="K22" s="427">
        <v>580</v>
      </c>
      <c r="R22" s="357" t="s">
        <v>645</v>
      </c>
      <c r="S22" s="428" t="s">
        <v>776</v>
      </c>
      <c r="T22" s="428">
        <v>2</v>
      </c>
      <c r="U22" s="428">
        <v>37</v>
      </c>
      <c r="V22" s="208" t="str">
        <f t="shared" si="1"/>
        <v>CLX100237</v>
      </c>
      <c r="W22" s="428">
        <v>0</v>
      </c>
      <c r="X22" s="428">
        <v>0</v>
      </c>
      <c r="Y22" s="428">
        <v>0</v>
      </c>
      <c r="Z22" s="428">
        <v>0</v>
      </c>
      <c r="AA22" s="428">
        <v>0</v>
      </c>
      <c r="AB22" s="428">
        <v>0</v>
      </c>
      <c r="AC22" s="428">
        <v>0</v>
      </c>
      <c r="AD22" s="428">
        <v>0</v>
      </c>
      <c r="AE22" s="428">
        <v>0</v>
      </c>
      <c r="AF22" s="428">
        <v>0</v>
      </c>
      <c r="AG22" s="428">
        <v>0</v>
      </c>
      <c r="AH22" s="428">
        <v>0</v>
      </c>
      <c r="AI22" s="428">
        <v>0</v>
      </c>
      <c r="AJ22" s="428">
        <v>0</v>
      </c>
      <c r="AK22" s="428">
        <v>0</v>
      </c>
      <c r="AL22" s="428">
        <v>0</v>
      </c>
      <c r="AM22" s="428">
        <v>0</v>
      </c>
      <c r="AN22" s="428">
        <v>0</v>
      </c>
      <c r="AO22" s="428">
        <v>0</v>
      </c>
      <c r="AP22" s="428">
        <v>0</v>
      </c>
      <c r="AQ22" s="428">
        <v>0</v>
      </c>
      <c r="AR22" s="428">
        <v>0</v>
      </c>
      <c r="AS22" s="428">
        <v>0</v>
      </c>
      <c r="AT22" s="428">
        <v>0</v>
      </c>
      <c r="AU22" s="428">
        <v>0</v>
      </c>
      <c r="AV22" s="428">
        <v>0</v>
      </c>
      <c r="AW22" s="428">
        <v>0</v>
      </c>
      <c r="AX22" s="428">
        <v>0</v>
      </c>
      <c r="AY22" s="428">
        <v>0</v>
      </c>
      <c r="AZ22" s="428">
        <v>0</v>
      </c>
      <c r="BA22" s="428">
        <v>0</v>
      </c>
      <c r="BB22" s="428">
        <v>0</v>
      </c>
      <c r="BC22" s="428">
        <v>0</v>
      </c>
      <c r="BD22" s="428">
        <v>0</v>
      </c>
      <c r="BE22" s="428">
        <v>0</v>
      </c>
      <c r="BF22" s="428">
        <v>0</v>
      </c>
      <c r="BG22" s="428">
        <v>0</v>
      </c>
      <c r="BH22" s="428">
        <v>0</v>
      </c>
      <c r="BI22" s="428">
        <v>0</v>
      </c>
      <c r="BJ22" s="428">
        <v>0</v>
      </c>
      <c r="BK22" s="428">
        <v>0</v>
      </c>
      <c r="BL22" s="428">
        <v>0</v>
      </c>
      <c r="BM22" s="428">
        <v>0</v>
      </c>
      <c r="BN22" s="428">
        <v>0</v>
      </c>
      <c r="BO22" s="428">
        <v>0</v>
      </c>
      <c r="BP22" s="428">
        <v>0</v>
      </c>
      <c r="BQ22" s="428">
        <v>0</v>
      </c>
      <c r="BR22" s="428">
        <v>0</v>
      </c>
      <c r="BS22" s="428">
        <v>0</v>
      </c>
      <c r="BT22" s="428">
        <v>0</v>
      </c>
      <c r="BU22" s="428">
        <v>0</v>
      </c>
      <c r="BV22" s="428">
        <v>0</v>
      </c>
      <c r="BW22" s="428">
        <v>6148.0000000000009</v>
      </c>
      <c r="BX22" s="428">
        <v>0</v>
      </c>
      <c r="BY22" s="428">
        <v>0</v>
      </c>
      <c r="BZ22" s="428">
        <v>0</v>
      </c>
      <c r="CA22" s="428">
        <v>0</v>
      </c>
      <c r="CB22" s="428">
        <v>0</v>
      </c>
      <c r="CC22" s="428">
        <v>0</v>
      </c>
      <c r="CD22" s="428">
        <v>0</v>
      </c>
      <c r="CE22" s="428">
        <v>0</v>
      </c>
      <c r="CF22" s="428">
        <v>0</v>
      </c>
      <c r="CG22" s="428">
        <v>0</v>
      </c>
      <c r="CH22" s="428">
        <v>0</v>
      </c>
      <c r="CI22" s="428">
        <v>0</v>
      </c>
      <c r="CJ22" s="428">
        <v>0</v>
      </c>
      <c r="CK22" s="428">
        <v>0</v>
      </c>
      <c r="CL22" s="428">
        <v>0</v>
      </c>
      <c r="CM22" s="428">
        <v>0</v>
      </c>
      <c r="CN22" s="428">
        <v>0</v>
      </c>
      <c r="CO22" s="428">
        <v>0</v>
      </c>
      <c r="CP22" s="428">
        <v>0</v>
      </c>
      <c r="CQ22" s="428">
        <v>0</v>
      </c>
      <c r="CR22" s="428">
        <v>0</v>
      </c>
      <c r="CS22" s="428">
        <v>0</v>
      </c>
      <c r="CT22" s="428">
        <v>0</v>
      </c>
      <c r="CU22" s="428">
        <v>0</v>
      </c>
      <c r="CV22" s="428">
        <v>0</v>
      </c>
      <c r="CW22" s="428">
        <v>0</v>
      </c>
      <c r="CX22" s="428">
        <v>0</v>
      </c>
      <c r="CY22" s="428">
        <v>0</v>
      </c>
      <c r="CZ22" s="428">
        <v>0</v>
      </c>
      <c r="DA22" s="428">
        <v>0</v>
      </c>
      <c r="DB22" s="428">
        <v>0</v>
      </c>
      <c r="DC22" s="428">
        <v>0</v>
      </c>
      <c r="DD22" s="428">
        <v>0</v>
      </c>
      <c r="DE22" s="428">
        <v>0</v>
      </c>
      <c r="DF22" s="428">
        <v>0</v>
      </c>
      <c r="DG22" s="428">
        <v>0</v>
      </c>
      <c r="DH22" s="428">
        <v>0</v>
      </c>
      <c r="DI22" s="428">
        <v>0</v>
      </c>
      <c r="DJ22" s="428">
        <v>0</v>
      </c>
      <c r="DK22" s="428">
        <v>0</v>
      </c>
      <c r="DL22" s="428">
        <v>0</v>
      </c>
      <c r="DM22" s="428">
        <v>0</v>
      </c>
      <c r="DN22" s="428">
        <v>0</v>
      </c>
      <c r="DO22" s="428">
        <v>0</v>
      </c>
      <c r="DP22" s="428">
        <v>0</v>
      </c>
      <c r="DQ22" s="428">
        <v>0</v>
      </c>
      <c r="DR22" s="428">
        <v>0</v>
      </c>
      <c r="DS22" s="428">
        <v>0</v>
      </c>
      <c r="DT22" s="428">
        <v>0</v>
      </c>
      <c r="DU22" s="428">
        <v>0</v>
      </c>
      <c r="DV22" s="428">
        <v>0</v>
      </c>
      <c r="ED22" s="135"/>
      <c r="EE22" s="357" t="s">
        <v>645</v>
      </c>
      <c r="EF22" s="426" t="s">
        <v>776</v>
      </c>
      <c r="EG22" s="426">
        <v>2</v>
      </c>
      <c r="EH22" s="426">
        <v>37</v>
      </c>
      <c r="EI22" s="208" t="str">
        <f t="shared" si="2"/>
        <v>CLX100237</v>
      </c>
      <c r="EJ22" s="426">
        <v>614.79999999999995</v>
      </c>
      <c r="EK22" s="426">
        <v>1229.5999999999999</v>
      </c>
      <c r="EL22" s="426">
        <v>1844.4</v>
      </c>
      <c r="EM22" s="426">
        <v>2459.1999999999998</v>
      </c>
      <c r="EN22" s="426">
        <v>3074</v>
      </c>
      <c r="EO22" s="426">
        <v>3688.8</v>
      </c>
      <c r="EP22" s="426">
        <v>4303.6000000000004</v>
      </c>
      <c r="EQ22" s="426">
        <v>4918.3999999999996</v>
      </c>
      <c r="ER22" s="426">
        <v>5533.2</v>
      </c>
      <c r="ES22" s="426">
        <v>6148</v>
      </c>
      <c r="ET22" s="426">
        <v>6148</v>
      </c>
      <c r="EU22" s="426">
        <v>6148</v>
      </c>
      <c r="EV22" s="426">
        <v>6148</v>
      </c>
      <c r="EW22" s="426">
        <v>6148</v>
      </c>
      <c r="EX22" s="426">
        <v>6148</v>
      </c>
      <c r="EY22" s="426">
        <v>6148</v>
      </c>
      <c r="EZ22" s="426">
        <v>6148</v>
      </c>
      <c r="FA22" s="426">
        <v>6148</v>
      </c>
      <c r="FB22" s="426">
        <v>6148</v>
      </c>
      <c r="FC22" s="426">
        <v>6148</v>
      </c>
      <c r="FD22" s="426">
        <v>6148</v>
      </c>
      <c r="FE22" s="426">
        <v>6148</v>
      </c>
      <c r="FF22" s="426">
        <v>6148</v>
      </c>
      <c r="FG22" s="426">
        <v>6148</v>
      </c>
      <c r="FH22" s="426">
        <v>6148</v>
      </c>
      <c r="FI22" s="426">
        <v>6148</v>
      </c>
      <c r="FJ22" s="426">
        <v>6148</v>
      </c>
      <c r="FK22" s="426">
        <v>6148</v>
      </c>
      <c r="FL22" s="426">
        <v>6148</v>
      </c>
      <c r="FM22" s="426">
        <v>6148</v>
      </c>
      <c r="FN22" s="426">
        <v>6148</v>
      </c>
      <c r="FO22" s="426">
        <v>6148</v>
      </c>
      <c r="FP22" s="426">
        <v>6148</v>
      </c>
      <c r="FQ22" s="426">
        <v>6148</v>
      </c>
      <c r="FR22" s="426">
        <v>6148</v>
      </c>
      <c r="FS22" s="426">
        <v>6148</v>
      </c>
      <c r="FT22" s="426">
        <v>6148</v>
      </c>
      <c r="FU22" s="426">
        <v>6148</v>
      </c>
      <c r="FV22" s="426">
        <v>6148</v>
      </c>
      <c r="FW22" s="426">
        <v>6148</v>
      </c>
      <c r="FX22" s="426">
        <v>6148</v>
      </c>
      <c r="FY22" s="426">
        <v>6148</v>
      </c>
      <c r="FZ22" s="426">
        <v>6148</v>
      </c>
      <c r="GA22" s="426">
        <v>6148</v>
      </c>
      <c r="GB22" s="426">
        <v>6148</v>
      </c>
      <c r="GC22" s="426">
        <v>6148</v>
      </c>
      <c r="GD22" s="426">
        <v>6148</v>
      </c>
      <c r="GE22" s="426">
        <v>6148</v>
      </c>
      <c r="GF22" s="426">
        <v>6148</v>
      </c>
      <c r="GG22" s="426">
        <v>6148</v>
      </c>
      <c r="GH22" s="426">
        <v>6148</v>
      </c>
      <c r="GI22" s="426">
        <v>6148</v>
      </c>
      <c r="GJ22" s="426">
        <v>6148</v>
      </c>
      <c r="GK22" s="426">
        <v>0</v>
      </c>
      <c r="GL22" s="426">
        <v>0</v>
      </c>
      <c r="GM22" s="426">
        <v>0</v>
      </c>
      <c r="GN22" s="426">
        <v>0</v>
      </c>
      <c r="GO22" s="426">
        <v>0</v>
      </c>
      <c r="GP22" s="426">
        <v>0</v>
      </c>
      <c r="GQ22" s="426">
        <v>0</v>
      </c>
      <c r="GR22" s="426">
        <v>0</v>
      </c>
      <c r="GS22" s="426">
        <v>0</v>
      </c>
      <c r="GT22" s="426">
        <v>0</v>
      </c>
      <c r="GU22" s="426">
        <v>0</v>
      </c>
      <c r="GV22" s="426">
        <v>0</v>
      </c>
      <c r="GW22" s="426">
        <v>0</v>
      </c>
      <c r="GX22" s="426">
        <v>0</v>
      </c>
      <c r="GY22" s="426">
        <v>0</v>
      </c>
      <c r="GZ22" s="426">
        <v>0</v>
      </c>
      <c r="HA22" s="426">
        <v>0</v>
      </c>
      <c r="HB22" s="426">
        <v>0</v>
      </c>
      <c r="HC22" s="426">
        <v>0</v>
      </c>
      <c r="HD22" s="426">
        <v>0</v>
      </c>
      <c r="HE22" s="426">
        <v>0</v>
      </c>
      <c r="HF22" s="426">
        <v>0</v>
      </c>
      <c r="HG22" s="426">
        <v>0</v>
      </c>
      <c r="HH22" s="426">
        <v>0</v>
      </c>
      <c r="HI22" s="426">
        <v>0</v>
      </c>
      <c r="HJ22" s="426">
        <v>0</v>
      </c>
      <c r="HK22" s="426">
        <v>0</v>
      </c>
      <c r="HL22" s="426">
        <v>0</v>
      </c>
      <c r="HM22" s="426">
        <v>0</v>
      </c>
      <c r="HN22" s="426">
        <v>0</v>
      </c>
      <c r="HO22" s="426">
        <v>0</v>
      </c>
      <c r="HP22" s="426">
        <v>0</v>
      </c>
      <c r="HQ22" s="426">
        <v>0</v>
      </c>
      <c r="HR22" s="426">
        <v>0</v>
      </c>
      <c r="HS22" s="426">
        <v>0</v>
      </c>
      <c r="HT22" s="426">
        <v>0</v>
      </c>
      <c r="HU22" s="426">
        <v>0</v>
      </c>
      <c r="HV22" s="426">
        <v>0</v>
      </c>
      <c r="HW22" s="426">
        <v>0</v>
      </c>
      <c r="HX22" s="426">
        <v>0</v>
      </c>
      <c r="HY22" s="426">
        <v>0</v>
      </c>
      <c r="HZ22" s="426">
        <v>0</v>
      </c>
      <c r="IA22" s="426">
        <v>0</v>
      </c>
      <c r="IB22" s="426">
        <v>0</v>
      </c>
      <c r="IC22" s="426">
        <v>0</v>
      </c>
      <c r="ID22" s="426">
        <v>0</v>
      </c>
      <c r="IE22" s="426">
        <v>0</v>
      </c>
      <c r="IF22" s="426">
        <v>0</v>
      </c>
      <c r="IG22" s="426">
        <v>0</v>
      </c>
      <c r="IH22" s="426">
        <v>0</v>
      </c>
      <c r="II22" s="426">
        <v>0</v>
      </c>
      <c r="IJ22" s="426">
        <v>0</v>
      </c>
      <c r="IK22" s="426">
        <v>0</v>
      </c>
      <c r="IL22" s="426">
        <v>0</v>
      </c>
      <c r="IM22" s="426">
        <v>0</v>
      </c>
      <c r="IN22" s="426">
        <v>0</v>
      </c>
      <c r="IO22" s="426">
        <v>0</v>
      </c>
      <c r="IP22" s="426">
        <v>0</v>
      </c>
    </row>
    <row r="23" spans="1:250" ht="15">
      <c r="A23" s="357" t="s">
        <v>645</v>
      </c>
      <c r="B23" s="427" t="s">
        <v>776</v>
      </c>
      <c r="C23" s="427"/>
      <c r="D23" s="427"/>
      <c r="E23" s="427"/>
      <c r="F23" s="427">
        <v>2</v>
      </c>
      <c r="G23" s="427"/>
      <c r="H23" s="427">
        <v>38</v>
      </c>
      <c r="I23" s="427"/>
      <c r="J23" t="str">
        <f t="shared" si="0"/>
        <v>CLX100238</v>
      </c>
      <c r="K23" s="427">
        <v>590</v>
      </c>
      <c r="R23" s="357" t="s">
        <v>645</v>
      </c>
      <c r="S23" s="428" t="s">
        <v>776</v>
      </c>
      <c r="T23" s="428">
        <v>2</v>
      </c>
      <c r="U23" s="428">
        <v>38</v>
      </c>
      <c r="V23" s="208" t="str">
        <f t="shared" si="1"/>
        <v>CLX100238</v>
      </c>
      <c r="W23" s="428">
        <v>0</v>
      </c>
      <c r="X23" s="428">
        <v>0</v>
      </c>
      <c r="Y23" s="428">
        <v>0</v>
      </c>
      <c r="Z23" s="428">
        <v>0</v>
      </c>
      <c r="AA23" s="428">
        <v>0</v>
      </c>
      <c r="AB23" s="428">
        <v>0</v>
      </c>
      <c r="AC23" s="428">
        <v>0</v>
      </c>
      <c r="AD23" s="428">
        <v>0</v>
      </c>
      <c r="AE23" s="428">
        <v>0</v>
      </c>
      <c r="AF23" s="428">
        <v>0</v>
      </c>
      <c r="AG23" s="428">
        <v>0</v>
      </c>
      <c r="AH23" s="428">
        <v>0</v>
      </c>
      <c r="AI23" s="428">
        <v>0</v>
      </c>
      <c r="AJ23" s="428">
        <v>0</v>
      </c>
      <c r="AK23" s="428">
        <v>0</v>
      </c>
      <c r="AL23" s="428">
        <v>0</v>
      </c>
      <c r="AM23" s="428">
        <v>0</v>
      </c>
      <c r="AN23" s="428">
        <v>0</v>
      </c>
      <c r="AO23" s="428">
        <v>0</v>
      </c>
      <c r="AP23" s="428">
        <v>0</v>
      </c>
      <c r="AQ23" s="428">
        <v>0</v>
      </c>
      <c r="AR23" s="428">
        <v>0</v>
      </c>
      <c r="AS23" s="428">
        <v>0</v>
      </c>
      <c r="AT23" s="428">
        <v>0</v>
      </c>
      <c r="AU23" s="428">
        <v>0</v>
      </c>
      <c r="AV23" s="428">
        <v>0</v>
      </c>
      <c r="AW23" s="428">
        <v>0</v>
      </c>
      <c r="AX23" s="428">
        <v>0</v>
      </c>
      <c r="AY23" s="428">
        <v>0</v>
      </c>
      <c r="AZ23" s="428">
        <v>0</v>
      </c>
      <c r="BA23" s="428">
        <v>0</v>
      </c>
      <c r="BB23" s="428">
        <v>0</v>
      </c>
      <c r="BC23" s="428">
        <v>0</v>
      </c>
      <c r="BD23" s="428">
        <v>0</v>
      </c>
      <c r="BE23" s="428">
        <v>0</v>
      </c>
      <c r="BF23" s="428">
        <v>0</v>
      </c>
      <c r="BG23" s="428">
        <v>0</v>
      </c>
      <c r="BH23" s="428">
        <v>0</v>
      </c>
      <c r="BI23" s="428">
        <v>0</v>
      </c>
      <c r="BJ23" s="428">
        <v>0</v>
      </c>
      <c r="BK23" s="428">
        <v>0</v>
      </c>
      <c r="BL23" s="428">
        <v>0</v>
      </c>
      <c r="BM23" s="428">
        <v>0</v>
      </c>
      <c r="BN23" s="428">
        <v>0</v>
      </c>
      <c r="BO23" s="428">
        <v>0</v>
      </c>
      <c r="BP23" s="428">
        <v>0</v>
      </c>
      <c r="BQ23" s="428">
        <v>0</v>
      </c>
      <c r="BR23" s="428">
        <v>0</v>
      </c>
      <c r="BS23" s="428">
        <v>0</v>
      </c>
      <c r="BT23" s="428">
        <v>0</v>
      </c>
      <c r="BU23" s="428">
        <v>0</v>
      </c>
      <c r="BV23" s="428">
        <v>6254</v>
      </c>
      <c r="BW23" s="428">
        <v>0</v>
      </c>
      <c r="BX23" s="428">
        <v>0</v>
      </c>
      <c r="BY23" s="428">
        <v>0</v>
      </c>
      <c r="BZ23" s="428">
        <v>0</v>
      </c>
      <c r="CA23" s="428">
        <v>0</v>
      </c>
      <c r="CB23" s="428">
        <v>0</v>
      </c>
      <c r="CC23" s="428">
        <v>0</v>
      </c>
      <c r="CD23" s="428">
        <v>0</v>
      </c>
      <c r="CE23" s="428">
        <v>0</v>
      </c>
      <c r="CF23" s="428">
        <v>0</v>
      </c>
      <c r="CG23" s="428">
        <v>0</v>
      </c>
      <c r="CH23" s="428">
        <v>0</v>
      </c>
      <c r="CI23" s="428">
        <v>0</v>
      </c>
      <c r="CJ23" s="428">
        <v>0</v>
      </c>
      <c r="CK23" s="428">
        <v>0</v>
      </c>
      <c r="CL23" s="428">
        <v>0</v>
      </c>
      <c r="CM23" s="428">
        <v>0</v>
      </c>
      <c r="CN23" s="428">
        <v>0</v>
      </c>
      <c r="CO23" s="428">
        <v>0</v>
      </c>
      <c r="CP23" s="428">
        <v>0</v>
      </c>
      <c r="CQ23" s="428">
        <v>0</v>
      </c>
      <c r="CR23" s="428">
        <v>0</v>
      </c>
      <c r="CS23" s="428">
        <v>0</v>
      </c>
      <c r="CT23" s="428">
        <v>0</v>
      </c>
      <c r="CU23" s="428">
        <v>0</v>
      </c>
      <c r="CV23" s="428">
        <v>0</v>
      </c>
      <c r="CW23" s="428">
        <v>0</v>
      </c>
      <c r="CX23" s="428">
        <v>0</v>
      </c>
      <c r="CY23" s="428">
        <v>0</v>
      </c>
      <c r="CZ23" s="428">
        <v>0</v>
      </c>
      <c r="DA23" s="428">
        <v>0</v>
      </c>
      <c r="DB23" s="428">
        <v>0</v>
      </c>
      <c r="DC23" s="428">
        <v>0</v>
      </c>
      <c r="DD23" s="428">
        <v>0</v>
      </c>
      <c r="DE23" s="428">
        <v>0</v>
      </c>
      <c r="DF23" s="428">
        <v>0</v>
      </c>
      <c r="DG23" s="428">
        <v>0</v>
      </c>
      <c r="DH23" s="428">
        <v>0</v>
      </c>
      <c r="DI23" s="428">
        <v>0</v>
      </c>
      <c r="DJ23" s="428">
        <v>0</v>
      </c>
      <c r="DK23" s="428">
        <v>0</v>
      </c>
      <c r="DL23" s="428">
        <v>0</v>
      </c>
      <c r="DM23" s="428">
        <v>0</v>
      </c>
      <c r="DN23" s="428">
        <v>0</v>
      </c>
      <c r="DO23" s="428">
        <v>0</v>
      </c>
      <c r="DP23" s="428">
        <v>0</v>
      </c>
      <c r="DQ23" s="428">
        <v>0</v>
      </c>
      <c r="DR23" s="428">
        <v>0</v>
      </c>
      <c r="DS23" s="428">
        <v>0</v>
      </c>
      <c r="DT23" s="428">
        <v>0</v>
      </c>
      <c r="DU23" s="428">
        <v>0</v>
      </c>
      <c r="DV23" s="428">
        <v>0</v>
      </c>
      <c r="ED23" s="135"/>
      <c r="EE23" s="357" t="s">
        <v>645</v>
      </c>
      <c r="EF23" s="426" t="s">
        <v>776</v>
      </c>
      <c r="EG23" s="426">
        <v>2</v>
      </c>
      <c r="EH23" s="426">
        <v>38</v>
      </c>
      <c r="EI23" s="208" t="str">
        <f t="shared" si="2"/>
        <v>CLX100238</v>
      </c>
      <c r="EJ23" s="426">
        <v>625.4</v>
      </c>
      <c r="EK23" s="426">
        <v>1250.8</v>
      </c>
      <c r="EL23" s="426">
        <v>1876.2</v>
      </c>
      <c r="EM23" s="426">
        <v>2501.6</v>
      </c>
      <c r="EN23" s="426">
        <v>3127</v>
      </c>
      <c r="EO23" s="426">
        <v>3752.4</v>
      </c>
      <c r="EP23" s="426">
        <v>4377.8</v>
      </c>
      <c r="EQ23" s="426">
        <v>5003.2</v>
      </c>
      <c r="ER23" s="426">
        <v>5628.6</v>
      </c>
      <c r="ES23" s="426">
        <v>6254</v>
      </c>
      <c r="ET23" s="426">
        <v>6254</v>
      </c>
      <c r="EU23" s="426">
        <v>6254</v>
      </c>
      <c r="EV23" s="426">
        <v>6254</v>
      </c>
      <c r="EW23" s="426">
        <v>6254</v>
      </c>
      <c r="EX23" s="426">
        <v>6254</v>
      </c>
      <c r="EY23" s="426">
        <v>6254</v>
      </c>
      <c r="EZ23" s="426">
        <v>6254</v>
      </c>
      <c r="FA23" s="426">
        <v>6254</v>
      </c>
      <c r="FB23" s="426">
        <v>6254</v>
      </c>
      <c r="FC23" s="426">
        <v>6254</v>
      </c>
      <c r="FD23" s="426">
        <v>6254</v>
      </c>
      <c r="FE23" s="426">
        <v>6254</v>
      </c>
      <c r="FF23" s="426">
        <v>6254</v>
      </c>
      <c r="FG23" s="426">
        <v>6254</v>
      </c>
      <c r="FH23" s="426">
        <v>6254</v>
      </c>
      <c r="FI23" s="426">
        <v>6254</v>
      </c>
      <c r="FJ23" s="426">
        <v>6254</v>
      </c>
      <c r="FK23" s="426">
        <v>6254</v>
      </c>
      <c r="FL23" s="426">
        <v>6254</v>
      </c>
      <c r="FM23" s="426">
        <v>6254</v>
      </c>
      <c r="FN23" s="426">
        <v>6254</v>
      </c>
      <c r="FO23" s="426">
        <v>6254</v>
      </c>
      <c r="FP23" s="426">
        <v>6254</v>
      </c>
      <c r="FQ23" s="426">
        <v>6254</v>
      </c>
      <c r="FR23" s="426">
        <v>6254</v>
      </c>
      <c r="FS23" s="426">
        <v>6254</v>
      </c>
      <c r="FT23" s="426">
        <v>6254</v>
      </c>
      <c r="FU23" s="426">
        <v>6254</v>
      </c>
      <c r="FV23" s="426">
        <v>6254</v>
      </c>
      <c r="FW23" s="426">
        <v>6254</v>
      </c>
      <c r="FX23" s="426">
        <v>6254</v>
      </c>
      <c r="FY23" s="426">
        <v>6254</v>
      </c>
      <c r="FZ23" s="426">
        <v>6254</v>
      </c>
      <c r="GA23" s="426">
        <v>6254</v>
      </c>
      <c r="GB23" s="426">
        <v>6254</v>
      </c>
      <c r="GC23" s="426">
        <v>6254</v>
      </c>
      <c r="GD23" s="426">
        <v>6254</v>
      </c>
      <c r="GE23" s="426">
        <v>6254</v>
      </c>
      <c r="GF23" s="426">
        <v>6254</v>
      </c>
      <c r="GG23" s="426">
        <v>6254</v>
      </c>
      <c r="GH23" s="426">
        <v>6254</v>
      </c>
      <c r="GI23" s="426">
        <v>6254</v>
      </c>
      <c r="GJ23" s="426">
        <v>0</v>
      </c>
      <c r="GK23" s="426">
        <v>0</v>
      </c>
      <c r="GL23" s="426">
        <v>0</v>
      </c>
      <c r="GM23" s="426">
        <v>0</v>
      </c>
      <c r="GN23" s="426">
        <v>0</v>
      </c>
      <c r="GO23" s="426">
        <v>0</v>
      </c>
      <c r="GP23" s="426">
        <v>0</v>
      </c>
      <c r="GQ23" s="426">
        <v>0</v>
      </c>
      <c r="GR23" s="426">
        <v>0</v>
      </c>
      <c r="GS23" s="426">
        <v>0</v>
      </c>
      <c r="GT23" s="426">
        <v>0</v>
      </c>
      <c r="GU23" s="426">
        <v>0</v>
      </c>
      <c r="GV23" s="426">
        <v>0</v>
      </c>
      <c r="GW23" s="426">
        <v>0</v>
      </c>
      <c r="GX23" s="426">
        <v>0</v>
      </c>
      <c r="GY23" s="426">
        <v>0</v>
      </c>
      <c r="GZ23" s="426">
        <v>0</v>
      </c>
      <c r="HA23" s="426">
        <v>0</v>
      </c>
      <c r="HB23" s="426">
        <v>0</v>
      </c>
      <c r="HC23" s="426">
        <v>0</v>
      </c>
      <c r="HD23" s="426">
        <v>0</v>
      </c>
      <c r="HE23" s="426">
        <v>0</v>
      </c>
      <c r="HF23" s="426">
        <v>0</v>
      </c>
      <c r="HG23" s="426">
        <v>0</v>
      </c>
      <c r="HH23" s="426">
        <v>0</v>
      </c>
      <c r="HI23" s="426">
        <v>0</v>
      </c>
      <c r="HJ23" s="426">
        <v>0</v>
      </c>
      <c r="HK23" s="426">
        <v>0</v>
      </c>
      <c r="HL23" s="426">
        <v>0</v>
      </c>
      <c r="HM23" s="426">
        <v>0</v>
      </c>
      <c r="HN23" s="426">
        <v>0</v>
      </c>
      <c r="HO23" s="426">
        <v>0</v>
      </c>
      <c r="HP23" s="426">
        <v>0</v>
      </c>
      <c r="HQ23" s="426">
        <v>0</v>
      </c>
      <c r="HR23" s="426">
        <v>0</v>
      </c>
      <c r="HS23" s="426">
        <v>0</v>
      </c>
      <c r="HT23" s="426">
        <v>0</v>
      </c>
      <c r="HU23" s="426">
        <v>0</v>
      </c>
      <c r="HV23" s="426">
        <v>0</v>
      </c>
      <c r="HW23" s="426">
        <v>0</v>
      </c>
      <c r="HX23" s="426">
        <v>0</v>
      </c>
      <c r="HY23" s="426">
        <v>0</v>
      </c>
      <c r="HZ23" s="426">
        <v>0</v>
      </c>
      <c r="IA23" s="426">
        <v>0</v>
      </c>
      <c r="IB23" s="426">
        <v>0</v>
      </c>
      <c r="IC23" s="426">
        <v>0</v>
      </c>
      <c r="ID23" s="426">
        <v>0</v>
      </c>
      <c r="IE23" s="426">
        <v>0</v>
      </c>
      <c r="IF23" s="426">
        <v>0</v>
      </c>
      <c r="IG23" s="426">
        <v>0</v>
      </c>
      <c r="IH23" s="426">
        <v>0</v>
      </c>
      <c r="II23" s="426">
        <v>0</v>
      </c>
      <c r="IJ23" s="426">
        <v>0</v>
      </c>
      <c r="IK23" s="426">
        <v>0</v>
      </c>
      <c r="IL23" s="426">
        <v>0</v>
      </c>
      <c r="IM23" s="426">
        <v>0</v>
      </c>
      <c r="IN23" s="426">
        <v>0</v>
      </c>
      <c r="IO23" s="426">
        <v>0</v>
      </c>
      <c r="IP23" s="426">
        <v>0</v>
      </c>
    </row>
    <row r="24" spans="1:250" ht="15">
      <c r="A24" s="357" t="s">
        <v>645</v>
      </c>
      <c r="B24" s="427" t="s">
        <v>776</v>
      </c>
      <c r="C24" s="427"/>
      <c r="D24" s="427"/>
      <c r="E24" s="427"/>
      <c r="F24" s="427">
        <v>2</v>
      </c>
      <c r="G24" s="427"/>
      <c r="H24" s="427">
        <v>39</v>
      </c>
      <c r="I24" s="427"/>
      <c r="J24" t="str">
        <f t="shared" si="0"/>
        <v>CLX100239</v>
      </c>
      <c r="K24" s="427">
        <v>600</v>
      </c>
      <c r="R24" s="357" t="s">
        <v>645</v>
      </c>
      <c r="S24" s="428" t="s">
        <v>776</v>
      </c>
      <c r="T24" s="428">
        <v>2</v>
      </c>
      <c r="U24" s="428">
        <v>39</v>
      </c>
      <c r="V24" s="208" t="str">
        <f t="shared" si="1"/>
        <v>CLX100239</v>
      </c>
      <c r="W24" s="428">
        <v>0</v>
      </c>
      <c r="X24" s="428">
        <v>0</v>
      </c>
      <c r="Y24" s="428">
        <v>0</v>
      </c>
      <c r="Z24" s="428">
        <v>0</v>
      </c>
      <c r="AA24" s="428">
        <v>0</v>
      </c>
      <c r="AB24" s="428">
        <v>0</v>
      </c>
      <c r="AC24" s="428">
        <v>0</v>
      </c>
      <c r="AD24" s="428">
        <v>0</v>
      </c>
      <c r="AE24" s="428">
        <v>0</v>
      </c>
      <c r="AF24" s="428">
        <v>0</v>
      </c>
      <c r="AG24" s="428">
        <v>0</v>
      </c>
      <c r="AH24" s="428">
        <v>0</v>
      </c>
      <c r="AI24" s="428">
        <v>0</v>
      </c>
      <c r="AJ24" s="428">
        <v>0</v>
      </c>
      <c r="AK24" s="428">
        <v>0</v>
      </c>
      <c r="AL24" s="428">
        <v>0</v>
      </c>
      <c r="AM24" s="428">
        <v>0</v>
      </c>
      <c r="AN24" s="428">
        <v>0</v>
      </c>
      <c r="AO24" s="428">
        <v>0</v>
      </c>
      <c r="AP24" s="428">
        <v>0</v>
      </c>
      <c r="AQ24" s="428">
        <v>0</v>
      </c>
      <c r="AR24" s="428">
        <v>0</v>
      </c>
      <c r="AS24" s="428">
        <v>0</v>
      </c>
      <c r="AT24" s="428">
        <v>0</v>
      </c>
      <c r="AU24" s="428">
        <v>0</v>
      </c>
      <c r="AV24" s="428">
        <v>0</v>
      </c>
      <c r="AW24" s="428">
        <v>0</v>
      </c>
      <c r="AX24" s="428">
        <v>0</v>
      </c>
      <c r="AY24" s="428">
        <v>0</v>
      </c>
      <c r="AZ24" s="428">
        <v>0</v>
      </c>
      <c r="BA24" s="428">
        <v>0</v>
      </c>
      <c r="BB24" s="428">
        <v>0</v>
      </c>
      <c r="BC24" s="428">
        <v>0</v>
      </c>
      <c r="BD24" s="428">
        <v>0</v>
      </c>
      <c r="BE24" s="428">
        <v>0</v>
      </c>
      <c r="BF24" s="428">
        <v>0</v>
      </c>
      <c r="BG24" s="428">
        <v>0</v>
      </c>
      <c r="BH24" s="428">
        <v>0</v>
      </c>
      <c r="BI24" s="428">
        <v>0</v>
      </c>
      <c r="BJ24" s="428">
        <v>0</v>
      </c>
      <c r="BK24" s="428">
        <v>0</v>
      </c>
      <c r="BL24" s="428">
        <v>0</v>
      </c>
      <c r="BM24" s="428">
        <v>0</v>
      </c>
      <c r="BN24" s="428">
        <v>0</v>
      </c>
      <c r="BO24" s="428">
        <v>0</v>
      </c>
      <c r="BP24" s="428">
        <v>0</v>
      </c>
      <c r="BQ24" s="428">
        <v>0</v>
      </c>
      <c r="BR24" s="428">
        <v>0</v>
      </c>
      <c r="BS24" s="428">
        <v>0</v>
      </c>
      <c r="BT24" s="428">
        <v>0</v>
      </c>
      <c r="BU24" s="428">
        <v>6360</v>
      </c>
      <c r="BV24" s="428">
        <v>0</v>
      </c>
      <c r="BW24" s="428">
        <v>0</v>
      </c>
      <c r="BX24" s="428">
        <v>0</v>
      </c>
      <c r="BY24" s="428">
        <v>0</v>
      </c>
      <c r="BZ24" s="428">
        <v>0</v>
      </c>
      <c r="CA24" s="428">
        <v>0</v>
      </c>
      <c r="CB24" s="428">
        <v>0</v>
      </c>
      <c r="CC24" s="428">
        <v>0</v>
      </c>
      <c r="CD24" s="428">
        <v>0</v>
      </c>
      <c r="CE24" s="428">
        <v>0</v>
      </c>
      <c r="CF24" s="428">
        <v>0</v>
      </c>
      <c r="CG24" s="428">
        <v>0</v>
      </c>
      <c r="CH24" s="428">
        <v>0</v>
      </c>
      <c r="CI24" s="428">
        <v>0</v>
      </c>
      <c r="CJ24" s="428">
        <v>0</v>
      </c>
      <c r="CK24" s="428">
        <v>0</v>
      </c>
      <c r="CL24" s="428">
        <v>0</v>
      </c>
      <c r="CM24" s="428">
        <v>0</v>
      </c>
      <c r="CN24" s="428">
        <v>0</v>
      </c>
      <c r="CO24" s="428">
        <v>0</v>
      </c>
      <c r="CP24" s="428">
        <v>0</v>
      </c>
      <c r="CQ24" s="428">
        <v>0</v>
      </c>
      <c r="CR24" s="428">
        <v>0</v>
      </c>
      <c r="CS24" s="428">
        <v>0</v>
      </c>
      <c r="CT24" s="428">
        <v>0</v>
      </c>
      <c r="CU24" s="428">
        <v>0</v>
      </c>
      <c r="CV24" s="428">
        <v>0</v>
      </c>
      <c r="CW24" s="428">
        <v>0</v>
      </c>
      <c r="CX24" s="428">
        <v>0</v>
      </c>
      <c r="CY24" s="428">
        <v>0</v>
      </c>
      <c r="CZ24" s="428">
        <v>0</v>
      </c>
      <c r="DA24" s="428">
        <v>0</v>
      </c>
      <c r="DB24" s="428">
        <v>0</v>
      </c>
      <c r="DC24" s="428">
        <v>0</v>
      </c>
      <c r="DD24" s="428">
        <v>0</v>
      </c>
      <c r="DE24" s="428">
        <v>0</v>
      </c>
      <c r="DF24" s="428">
        <v>0</v>
      </c>
      <c r="DG24" s="428">
        <v>0</v>
      </c>
      <c r="DH24" s="428">
        <v>0</v>
      </c>
      <c r="DI24" s="428">
        <v>0</v>
      </c>
      <c r="DJ24" s="428">
        <v>0</v>
      </c>
      <c r="DK24" s="428">
        <v>0</v>
      </c>
      <c r="DL24" s="428">
        <v>0</v>
      </c>
      <c r="DM24" s="428">
        <v>0</v>
      </c>
      <c r="DN24" s="428">
        <v>0</v>
      </c>
      <c r="DO24" s="428">
        <v>0</v>
      </c>
      <c r="DP24" s="428">
        <v>0</v>
      </c>
      <c r="DQ24" s="428">
        <v>0</v>
      </c>
      <c r="DR24" s="428">
        <v>0</v>
      </c>
      <c r="DS24" s="428">
        <v>0</v>
      </c>
      <c r="DT24" s="428">
        <v>0</v>
      </c>
      <c r="DU24" s="428">
        <v>0</v>
      </c>
      <c r="DV24" s="428">
        <v>0</v>
      </c>
      <c r="ED24" s="135"/>
      <c r="EE24" s="357" t="s">
        <v>645</v>
      </c>
      <c r="EF24" s="426" t="s">
        <v>776</v>
      </c>
      <c r="EG24" s="426">
        <v>2</v>
      </c>
      <c r="EH24" s="426">
        <v>39</v>
      </c>
      <c r="EI24" s="208" t="str">
        <f t="shared" si="2"/>
        <v>CLX100239</v>
      </c>
      <c r="EJ24" s="426">
        <v>636</v>
      </c>
      <c r="EK24" s="426">
        <v>1272</v>
      </c>
      <c r="EL24" s="426">
        <v>1908</v>
      </c>
      <c r="EM24" s="426">
        <v>2544</v>
      </c>
      <c r="EN24" s="426">
        <v>3180</v>
      </c>
      <c r="EO24" s="426">
        <v>3816</v>
      </c>
      <c r="EP24" s="426">
        <v>4452</v>
      </c>
      <c r="EQ24" s="426">
        <v>5088</v>
      </c>
      <c r="ER24" s="426">
        <v>5724</v>
      </c>
      <c r="ES24" s="426">
        <v>6360</v>
      </c>
      <c r="ET24" s="426">
        <v>6360</v>
      </c>
      <c r="EU24" s="426">
        <v>6360</v>
      </c>
      <c r="EV24" s="426">
        <v>6360</v>
      </c>
      <c r="EW24" s="426">
        <v>6360</v>
      </c>
      <c r="EX24" s="426">
        <v>6360</v>
      </c>
      <c r="EY24" s="426">
        <v>6360</v>
      </c>
      <c r="EZ24" s="426">
        <v>6360</v>
      </c>
      <c r="FA24" s="426">
        <v>6360</v>
      </c>
      <c r="FB24" s="426">
        <v>6360</v>
      </c>
      <c r="FC24" s="426">
        <v>6360</v>
      </c>
      <c r="FD24" s="426">
        <v>6360</v>
      </c>
      <c r="FE24" s="426">
        <v>6360</v>
      </c>
      <c r="FF24" s="426">
        <v>6360</v>
      </c>
      <c r="FG24" s="426">
        <v>6360</v>
      </c>
      <c r="FH24" s="426">
        <v>6360</v>
      </c>
      <c r="FI24" s="426">
        <v>6360</v>
      </c>
      <c r="FJ24" s="426">
        <v>6360</v>
      </c>
      <c r="FK24" s="426">
        <v>6360</v>
      </c>
      <c r="FL24" s="426">
        <v>6360</v>
      </c>
      <c r="FM24" s="426">
        <v>6360</v>
      </c>
      <c r="FN24" s="426">
        <v>6360</v>
      </c>
      <c r="FO24" s="426">
        <v>6360</v>
      </c>
      <c r="FP24" s="426">
        <v>6360</v>
      </c>
      <c r="FQ24" s="426">
        <v>6360</v>
      </c>
      <c r="FR24" s="426">
        <v>6360</v>
      </c>
      <c r="FS24" s="426">
        <v>6360</v>
      </c>
      <c r="FT24" s="426">
        <v>6360</v>
      </c>
      <c r="FU24" s="426">
        <v>6360</v>
      </c>
      <c r="FV24" s="426">
        <v>6360</v>
      </c>
      <c r="FW24" s="426">
        <v>6360</v>
      </c>
      <c r="FX24" s="426">
        <v>6360</v>
      </c>
      <c r="FY24" s="426">
        <v>6360</v>
      </c>
      <c r="FZ24" s="426">
        <v>6360</v>
      </c>
      <c r="GA24" s="426">
        <v>6360</v>
      </c>
      <c r="GB24" s="426">
        <v>6360</v>
      </c>
      <c r="GC24" s="426">
        <v>6360</v>
      </c>
      <c r="GD24" s="426">
        <v>6360</v>
      </c>
      <c r="GE24" s="426">
        <v>6360</v>
      </c>
      <c r="GF24" s="426">
        <v>6360</v>
      </c>
      <c r="GG24" s="426">
        <v>6360</v>
      </c>
      <c r="GH24" s="426">
        <v>6360</v>
      </c>
      <c r="GI24" s="426">
        <v>0</v>
      </c>
      <c r="GJ24" s="426">
        <v>0</v>
      </c>
      <c r="GK24" s="426">
        <v>0</v>
      </c>
      <c r="GL24" s="426">
        <v>0</v>
      </c>
      <c r="GM24" s="426">
        <v>0</v>
      </c>
      <c r="GN24" s="426">
        <v>0</v>
      </c>
      <c r="GO24" s="426">
        <v>0</v>
      </c>
      <c r="GP24" s="426">
        <v>0</v>
      </c>
      <c r="GQ24" s="426">
        <v>0</v>
      </c>
      <c r="GR24" s="426">
        <v>0</v>
      </c>
      <c r="GS24" s="426">
        <v>0</v>
      </c>
      <c r="GT24" s="426">
        <v>0</v>
      </c>
      <c r="GU24" s="426">
        <v>0</v>
      </c>
      <c r="GV24" s="426">
        <v>0</v>
      </c>
      <c r="GW24" s="426">
        <v>0</v>
      </c>
      <c r="GX24" s="426">
        <v>0</v>
      </c>
      <c r="GY24" s="426">
        <v>0</v>
      </c>
      <c r="GZ24" s="426">
        <v>0</v>
      </c>
      <c r="HA24" s="426">
        <v>0</v>
      </c>
      <c r="HB24" s="426">
        <v>0</v>
      </c>
      <c r="HC24" s="426">
        <v>0</v>
      </c>
      <c r="HD24" s="426">
        <v>0</v>
      </c>
      <c r="HE24" s="426">
        <v>0</v>
      </c>
      <c r="HF24" s="426">
        <v>0</v>
      </c>
      <c r="HG24" s="426">
        <v>0</v>
      </c>
      <c r="HH24" s="426">
        <v>0</v>
      </c>
      <c r="HI24" s="426">
        <v>0</v>
      </c>
      <c r="HJ24" s="426">
        <v>0</v>
      </c>
      <c r="HK24" s="426">
        <v>0</v>
      </c>
      <c r="HL24" s="426">
        <v>0</v>
      </c>
      <c r="HM24" s="426">
        <v>0</v>
      </c>
      <c r="HN24" s="426">
        <v>0</v>
      </c>
      <c r="HO24" s="426">
        <v>0</v>
      </c>
      <c r="HP24" s="426">
        <v>0</v>
      </c>
      <c r="HQ24" s="426">
        <v>0</v>
      </c>
      <c r="HR24" s="426">
        <v>0</v>
      </c>
      <c r="HS24" s="426">
        <v>0</v>
      </c>
      <c r="HT24" s="426">
        <v>0</v>
      </c>
      <c r="HU24" s="426">
        <v>0</v>
      </c>
      <c r="HV24" s="426">
        <v>0</v>
      </c>
      <c r="HW24" s="426">
        <v>0</v>
      </c>
      <c r="HX24" s="426">
        <v>0</v>
      </c>
      <c r="HY24" s="426">
        <v>0</v>
      </c>
      <c r="HZ24" s="426">
        <v>0</v>
      </c>
      <c r="IA24" s="426">
        <v>0</v>
      </c>
      <c r="IB24" s="426">
        <v>0</v>
      </c>
      <c r="IC24" s="426">
        <v>0</v>
      </c>
      <c r="ID24" s="426">
        <v>0</v>
      </c>
      <c r="IE24" s="426">
        <v>0</v>
      </c>
      <c r="IF24" s="426">
        <v>0</v>
      </c>
      <c r="IG24" s="426">
        <v>0</v>
      </c>
      <c r="IH24" s="426">
        <v>0</v>
      </c>
      <c r="II24" s="426">
        <v>0</v>
      </c>
      <c r="IJ24" s="426">
        <v>0</v>
      </c>
      <c r="IK24" s="426">
        <v>0</v>
      </c>
      <c r="IL24" s="426">
        <v>0</v>
      </c>
      <c r="IM24" s="426">
        <v>0</v>
      </c>
      <c r="IN24" s="426">
        <v>0</v>
      </c>
      <c r="IO24" s="426">
        <v>0</v>
      </c>
      <c r="IP24" s="426">
        <v>0</v>
      </c>
    </row>
    <row r="25" spans="1:250" ht="15">
      <c r="A25" s="357" t="s">
        <v>645</v>
      </c>
      <c r="B25" s="427" t="s">
        <v>776</v>
      </c>
      <c r="C25" s="427"/>
      <c r="D25" s="427"/>
      <c r="E25" s="427"/>
      <c r="F25" s="427">
        <v>2</v>
      </c>
      <c r="G25" s="427"/>
      <c r="H25" s="427">
        <v>40</v>
      </c>
      <c r="I25" s="427"/>
      <c r="J25" t="str">
        <f t="shared" si="0"/>
        <v>CLX100240</v>
      </c>
      <c r="K25" s="427">
        <v>610</v>
      </c>
      <c r="R25" s="357" t="s">
        <v>645</v>
      </c>
      <c r="S25" s="428" t="s">
        <v>776</v>
      </c>
      <c r="T25" s="428">
        <v>2</v>
      </c>
      <c r="U25" s="428">
        <v>40</v>
      </c>
      <c r="V25" s="208" t="str">
        <f t="shared" si="1"/>
        <v>CLX100240</v>
      </c>
      <c r="W25" s="428">
        <v>0</v>
      </c>
      <c r="X25" s="428">
        <v>0</v>
      </c>
      <c r="Y25" s="428">
        <v>0</v>
      </c>
      <c r="Z25" s="428">
        <v>0</v>
      </c>
      <c r="AA25" s="428">
        <v>0</v>
      </c>
      <c r="AB25" s="428">
        <v>0</v>
      </c>
      <c r="AC25" s="428">
        <v>0</v>
      </c>
      <c r="AD25" s="428">
        <v>0</v>
      </c>
      <c r="AE25" s="428">
        <v>0</v>
      </c>
      <c r="AF25" s="428">
        <v>0</v>
      </c>
      <c r="AG25" s="428">
        <v>0</v>
      </c>
      <c r="AH25" s="428">
        <v>0</v>
      </c>
      <c r="AI25" s="428">
        <v>0</v>
      </c>
      <c r="AJ25" s="428">
        <v>0</v>
      </c>
      <c r="AK25" s="428">
        <v>0</v>
      </c>
      <c r="AL25" s="428">
        <v>0</v>
      </c>
      <c r="AM25" s="428">
        <v>0</v>
      </c>
      <c r="AN25" s="428">
        <v>0</v>
      </c>
      <c r="AO25" s="428">
        <v>0</v>
      </c>
      <c r="AP25" s="428">
        <v>0</v>
      </c>
      <c r="AQ25" s="428">
        <v>0</v>
      </c>
      <c r="AR25" s="428">
        <v>0</v>
      </c>
      <c r="AS25" s="428">
        <v>0</v>
      </c>
      <c r="AT25" s="428">
        <v>0</v>
      </c>
      <c r="AU25" s="428">
        <v>0</v>
      </c>
      <c r="AV25" s="428">
        <v>0</v>
      </c>
      <c r="AW25" s="428">
        <v>0</v>
      </c>
      <c r="AX25" s="428">
        <v>0</v>
      </c>
      <c r="AY25" s="428">
        <v>0</v>
      </c>
      <c r="AZ25" s="428">
        <v>0</v>
      </c>
      <c r="BA25" s="428">
        <v>0</v>
      </c>
      <c r="BB25" s="428">
        <v>0</v>
      </c>
      <c r="BC25" s="428">
        <v>0</v>
      </c>
      <c r="BD25" s="428">
        <v>0</v>
      </c>
      <c r="BE25" s="428">
        <v>0</v>
      </c>
      <c r="BF25" s="428">
        <v>0</v>
      </c>
      <c r="BG25" s="428">
        <v>0</v>
      </c>
      <c r="BH25" s="428">
        <v>0</v>
      </c>
      <c r="BI25" s="428">
        <v>0</v>
      </c>
      <c r="BJ25" s="428">
        <v>0</v>
      </c>
      <c r="BK25" s="428">
        <v>0</v>
      </c>
      <c r="BL25" s="428">
        <v>0</v>
      </c>
      <c r="BM25" s="428">
        <v>0</v>
      </c>
      <c r="BN25" s="428">
        <v>0</v>
      </c>
      <c r="BO25" s="428">
        <v>0</v>
      </c>
      <c r="BP25" s="428">
        <v>0</v>
      </c>
      <c r="BQ25" s="428">
        <v>0</v>
      </c>
      <c r="BR25" s="428">
        <v>0</v>
      </c>
      <c r="BS25" s="428">
        <v>0</v>
      </c>
      <c r="BT25" s="428">
        <v>6466</v>
      </c>
      <c r="BU25" s="428">
        <v>0</v>
      </c>
      <c r="BV25" s="428">
        <v>0</v>
      </c>
      <c r="BW25" s="428">
        <v>0</v>
      </c>
      <c r="BX25" s="428">
        <v>0</v>
      </c>
      <c r="BY25" s="428">
        <v>0</v>
      </c>
      <c r="BZ25" s="428">
        <v>0</v>
      </c>
      <c r="CA25" s="428">
        <v>0</v>
      </c>
      <c r="CB25" s="428">
        <v>0</v>
      </c>
      <c r="CC25" s="428">
        <v>0</v>
      </c>
      <c r="CD25" s="428">
        <v>0</v>
      </c>
      <c r="CE25" s="428">
        <v>0</v>
      </c>
      <c r="CF25" s="428">
        <v>0</v>
      </c>
      <c r="CG25" s="428">
        <v>0</v>
      </c>
      <c r="CH25" s="428">
        <v>0</v>
      </c>
      <c r="CI25" s="428">
        <v>0</v>
      </c>
      <c r="CJ25" s="428">
        <v>0</v>
      </c>
      <c r="CK25" s="428">
        <v>0</v>
      </c>
      <c r="CL25" s="428">
        <v>0</v>
      </c>
      <c r="CM25" s="428">
        <v>0</v>
      </c>
      <c r="CN25" s="428">
        <v>0</v>
      </c>
      <c r="CO25" s="428">
        <v>0</v>
      </c>
      <c r="CP25" s="428">
        <v>0</v>
      </c>
      <c r="CQ25" s="428">
        <v>0</v>
      </c>
      <c r="CR25" s="428">
        <v>0</v>
      </c>
      <c r="CS25" s="428">
        <v>0</v>
      </c>
      <c r="CT25" s="428">
        <v>0</v>
      </c>
      <c r="CU25" s="428">
        <v>0</v>
      </c>
      <c r="CV25" s="428">
        <v>0</v>
      </c>
      <c r="CW25" s="428">
        <v>0</v>
      </c>
      <c r="CX25" s="428">
        <v>0</v>
      </c>
      <c r="CY25" s="428">
        <v>0</v>
      </c>
      <c r="CZ25" s="428">
        <v>0</v>
      </c>
      <c r="DA25" s="428">
        <v>0</v>
      </c>
      <c r="DB25" s="428">
        <v>0</v>
      </c>
      <c r="DC25" s="428">
        <v>0</v>
      </c>
      <c r="DD25" s="428">
        <v>0</v>
      </c>
      <c r="DE25" s="428">
        <v>0</v>
      </c>
      <c r="DF25" s="428">
        <v>0</v>
      </c>
      <c r="DG25" s="428">
        <v>0</v>
      </c>
      <c r="DH25" s="428">
        <v>0</v>
      </c>
      <c r="DI25" s="428">
        <v>0</v>
      </c>
      <c r="DJ25" s="428">
        <v>0</v>
      </c>
      <c r="DK25" s="428">
        <v>0</v>
      </c>
      <c r="DL25" s="428">
        <v>0</v>
      </c>
      <c r="DM25" s="428">
        <v>0</v>
      </c>
      <c r="DN25" s="428">
        <v>0</v>
      </c>
      <c r="DO25" s="428">
        <v>0</v>
      </c>
      <c r="DP25" s="428">
        <v>0</v>
      </c>
      <c r="DQ25" s="428">
        <v>0</v>
      </c>
      <c r="DR25" s="428">
        <v>0</v>
      </c>
      <c r="DS25" s="428">
        <v>0</v>
      </c>
      <c r="DT25" s="428">
        <v>0</v>
      </c>
      <c r="DU25" s="428">
        <v>0</v>
      </c>
      <c r="DV25" s="428">
        <v>0</v>
      </c>
      <c r="ED25" s="135"/>
      <c r="EE25" s="357" t="s">
        <v>645</v>
      </c>
      <c r="EF25" s="426" t="s">
        <v>776</v>
      </c>
      <c r="EG25" s="426">
        <v>2</v>
      </c>
      <c r="EH25" s="426">
        <v>40</v>
      </c>
      <c r="EI25" s="208" t="str">
        <f t="shared" si="2"/>
        <v>CLX100240</v>
      </c>
      <c r="EJ25" s="426">
        <v>646.6</v>
      </c>
      <c r="EK25" s="426">
        <v>1293.2</v>
      </c>
      <c r="EL25" s="426">
        <v>1939.8</v>
      </c>
      <c r="EM25" s="426">
        <v>2586.4</v>
      </c>
      <c r="EN25" s="426">
        <v>3233</v>
      </c>
      <c r="EO25" s="426">
        <v>3879.6</v>
      </c>
      <c r="EP25" s="426">
        <v>4526.2</v>
      </c>
      <c r="EQ25" s="426">
        <v>5172.8</v>
      </c>
      <c r="ER25" s="426">
        <v>5819.4</v>
      </c>
      <c r="ES25" s="426">
        <v>6466</v>
      </c>
      <c r="ET25" s="426">
        <v>6466</v>
      </c>
      <c r="EU25" s="426">
        <v>6466</v>
      </c>
      <c r="EV25" s="426">
        <v>6466</v>
      </c>
      <c r="EW25" s="426">
        <v>6466</v>
      </c>
      <c r="EX25" s="426">
        <v>6466</v>
      </c>
      <c r="EY25" s="426">
        <v>6466</v>
      </c>
      <c r="EZ25" s="426">
        <v>6466</v>
      </c>
      <c r="FA25" s="426">
        <v>6466</v>
      </c>
      <c r="FB25" s="426">
        <v>6466</v>
      </c>
      <c r="FC25" s="426">
        <v>6466</v>
      </c>
      <c r="FD25" s="426">
        <v>6466</v>
      </c>
      <c r="FE25" s="426">
        <v>6466</v>
      </c>
      <c r="FF25" s="426">
        <v>6466</v>
      </c>
      <c r="FG25" s="426">
        <v>6466</v>
      </c>
      <c r="FH25" s="426">
        <v>6466</v>
      </c>
      <c r="FI25" s="426">
        <v>6466</v>
      </c>
      <c r="FJ25" s="426">
        <v>6466</v>
      </c>
      <c r="FK25" s="426">
        <v>6466</v>
      </c>
      <c r="FL25" s="426">
        <v>6466</v>
      </c>
      <c r="FM25" s="426">
        <v>6466</v>
      </c>
      <c r="FN25" s="426">
        <v>6466</v>
      </c>
      <c r="FO25" s="426">
        <v>6466</v>
      </c>
      <c r="FP25" s="426">
        <v>6466</v>
      </c>
      <c r="FQ25" s="426">
        <v>6466</v>
      </c>
      <c r="FR25" s="426">
        <v>6466</v>
      </c>
      <c r="FS25" s="426">
        <v>6466</v>
      </c>
      <c r="FT25" s="426">
        <v>6466</v>
      </c>
      <c r="FU25" s="426">
        <v>6466</v>
      </c>
      <c r="FV25" s="426">
        <v>6466</v>
      </c>
      <c r="FW25" s="426">
        <v>6466</v>
      </c>
      <c r="FX25" s="426">
        <v>6466</v>
      </c>
      <c r="FY25" s="426">
        <v>6466</v>
      </c>
      <c r="FZ25" s="426">
        <v>6466</v>
      </c>
      <c r="GA25" s="426">
        <v>6466</v>
      </c>
      <c r="GB25" s="426">
        <v>6466</v>
      </c>
      <c r="GC25" s="426">
        <v>6466</v>
      </c>
      <c r="GD25" s="426">
        <v>6466</v>
      </c>
      <c r="GE25" s="426">
        <v>6466</v>
      </c>
      <c r="GF25" s="426">
        <v>6466</v>
      </c>
      <c r="GG25" s="426">
        <v>6466</v>
      </c>
      <c r="GH25" s="426">
        <v>0</v>
      </c>
      <c r="GI25" s="426">
        <v>0</v>
      </c>
      <c r="GJ25" s="426">
        <v>0</v>
      </c>
      <c r="GK25" s="426">
        <v>0</v>
      </c>
      <c r="GL25" s="426">
        <v>0</v>
      </c>
      <c r="GM25" s="426">
        <v>0</v>
      </c>
      <c r="GN25" s="426">
        <v>0</v>
      </c>
      <c r="GO25" s="426">
        <v>0</v>
      </c>
      <c r="GP25" s="426">
        <v>0</v>
      </c>
      <c r="GQ25" s="426">
        <v>0</v>
      </c>
      <c r="GR25" s="426">
        <v>0</v>
      </c>
      <c r="GS25" s="426">
        <v>0</v>
      </c>
      <c r="GT25" s="426">
        <v>0</v>
      </c>
      <c r="GU25" s="426">
        <v>0</v>
      </c>
      <c r="GV25" s="426">
        <v>0</v>
      </c>
      <c r="GW25" s="426">
        <v>0</v>
      </c>
      <c r="GX25" s="426">
        <v>0</v>
      </c>
      <c r="GY25" s="426">
        <v>0</v>
      </c>
      <c r="GZ25" s="426">
        <v>0</v>
      </c>
      <c r="HA25" s="426">
        <v>0</v>
      </c>
      <c r="HB25" s="426">
        <v>0</v>
      </c>
      <c r="HC25" s="426">
        <v>0</v>
      </c>
      <c r="HD25" s="426">
        <v>0</v>
      </c>
      <c r="HE25" s="426">
        <v>0</v>
      </c>
      <c r="HF25" s="426">
        <v>0</v>
      </c>
      <c r="HG25" s="426">
        <v>0</v>
      </c>
      <c r="HH25" s="426">
        <v>0</v>
      </c>
      <c r="HI25" s="426">
        <v>0</v>
      </c>
      <c r="HJ25" s="426">
        <v>0</v>
      </c>
      <c r="HK25" s="426">
        <v>0</v>
      </c>
      <c r="HL25" s="426">
        <v>0</v>
      </c>
      <c r="HM25" s="426">
        <v>0</v>
      </c>
      <c r="HN25" s="426">
        <v>0</v>
      </c>
      <c r="HO25" s="426">
        <v>0</v>
      </c>
      <c r="HP25" s="426">
        <v>0</v>
      </c>
      <c r="HQ25" s="426">
        <v>0</v>
      </c>
      <c r="HR25" s="426">
        <v>0</v>
      </c>
      <c r="HS25" s="426">
        <v>0</v>
      </c>
      <c r="HT25" s="426">
        <v>0</v>
      </c>
      <c r="HU25" s="426">
        <v>0</v>
      </c>
      <c r="HV25" s="426">
        <v>0</v>
      </c>
      <c r="HW25" s="426">
        <v>0</v>
      </c>
      <c r="HX25" s="426">
        <v>0</v>
      </c>
      <c r="HY25" s="426">
        <v>0</v>
      </c>
      <c r="HZ25" s="426">
        <v>0</v>
      </c>
      <c r="IA25" s="426">
        <v>0</v>
      </c>
      <c r="IB25" s="426">
        <v>0</v>
      </c>
      <c r="IC25" s="426">
        <v>0</v>
      </c>
      <c r="ID25" s="426">
        <v>0</v>
      </c>
      <c r="IE25" s="426">
        <v>0</v>
      </c>
      <c r="IF25" s="426">
        <v>0</v>
      </c>
      <c r="IG25" s="426">
        <v>0</v>
      </c>
      <c r="IH25" s="426">
        <v>0</v>
      </c>
      <c r="II25" s="426">
        <v>0</v>
      </c>
      <c r="IJ25" s="426">
        <v>0</v>
      </c>
      <c r="IK25" s="426">
        <v>0</v>
      </c>
      <c r="IL25" s="426">
        <v>0</v>
      </c>
      <c r="IM25" s="426">
        <v>0</v>
      </c>
      <c r="IN25" s="426">
        <v>0</v>
      </c>
      <c r="IO25" s="426">
        <v>0</v>
      </c>
      <c r="IP25" s="426">
        <v>0</v>
      </c>
    </row>
    <row r="26" spans="1:250" ht="15">
      <c r="A26" s="357" t="s">
        <v>645</v>
      </c>
      <c r="B26" s="427" t="s">
        <v>776</v>
      </c>
      <c r="C26" s="427"/>
      <c r="D26" s="427"/>
      <c r="E26" s="427"/>
      <c r="F26" s="427">
        <v>2</v>
      </c>
      <c r="G26" s="427"/>
      <c r="H26" s="427">
        <v>41</v>
      </c>
      <c r="I26" s="427"/>
      <c r="J26" t="str">
        <f t="shared" si="0"/>
        <v>CLX100241</v>
      </c>
      <c r="K26" s="427">
        <v>620</v>
      </c>
      <c r="R26" s="357" t="s">
        <v>645</v>
      </c>
      <c r="S26" s="428" t="s">
        <v>776</v>
      </c>
      <c r="T26" s="428">
        <v>2</v>
      </c>
      <c r="U26" s="428">
        <v>41</v>
      </c>
      <c r="V26" s="208" t="str">
        <f t="shared" si="1"/>
        <v>CLX100241</v>
      </c>
      <c r="W26" s="428">
        <v>0</v>
      </c>
      <c r="X26" s="428">
        <v>0</v>
      </c>
      <c r="Y26" s="428">
        <v>0</v>
      </c>
      <c r="Z26" s="428">
        <v>0</v>
      </c>
      <c r="AA26" s="428">
        <v>0</v>
      </c>
      <c r="AB26" s="428">
        <v>0</v>
      </c>
      <c r="AC26" s="428">
        <v>0</v>
      </c>
      <c r="AD26" s="428">
        <v>0</v>
      </c>
      <c r="AE26" s="428">
        <v>0</v>
      </c>
      <c r="AF26" s="428">
        <v>0</v>
      </c>
      <c r="AG26" s="428">
        <v>0</v>
      </c>
      <c r="AH26" s="428">
        <v>0</v>
      </c>
      <c r="AI26" s="428">
        <v>0</v>
      </c>
      <c r="AJ26" s="428">
        <v>0</v>
      </c>
      <c r="AK26" s="428">
        <v>0</v>
      </c>
      <c r="AL26" s="428">
        <v>0</v>
      </c>
      <c r="AM26" s="428">
        <v>0</v>
      </c>
      <c r="AN26" s="428">
        <v>0</v>
      </c>
      <c r="AO26" s="428">
        <v>0</v>
      </c>
      <c r="AP26" s="428">
        <v>0</v>
      </c>
      <c r="AQ26" s="428">
        <v>0</v>
      </c>
      <c r="AR26" s="428">
        <v>0</v>
      </c>
      <c r="AS26" s="428">
        <v>0</v>
      </c>
      <c r="AT26" s="428">
        <v>0</v>
      </c>
      <c r="AU26" s="428">
        <v>0</v>
      </c>
      <c r="AV26" s="428">
        <v>0</v>
      </c>
      <c r="AW26" s="428">
        <v>0</v>
      </c>
      <c r="AX26" s="428">
        <v>0</v>
      </c>
      <c r="AY26" s="428">
        <v>0</v>
      </c>
      <c r="AZ26" s="428">
        <v>0</v>
      </c>
      <c r="BA26" s="428">
        <v>0</v>
      </c>
      <c r="BB26" s="428">
        <v>0</v>
      </c>
      <c r="BC26" s="428">
        <v>0</v>
      </c>
      <c r="BD26" s="428">
        <v>0</v>
      </c>
      <c r="BE26" s="428">
        <v>0</v>
      </c>
      <c r="BF26" s="428">
        <v>0</v>
      </c>
      <c r="BG26" s="428">
        <v>0</v>
      </c>
      <c r="BH26" s="428">
        <v>0</v>
      </c>
      <c r="BI26" s="428">
        <v>0</v>
      </c>
      <c r="BJ26" s="428">
        <v>0</v>
      </c>
      <c r="BK26" s="428">
        <v>0</v>
      </c>
      <c r="BL26" s="428">
        <v>0</v>
      </c>
      <c r="BM26" s="428">
        <v>0</v>
      </c>
      <c r="BN26" s="428">
        <v>0</v>
      </c>
      <c r="BO26" s="428">
        <v>0</v>
      </c>
      <c r="BP26" s="428">
        <v>0</v>
      </c>
      <c r="BQ26" s="428">
        <v>0</v>
      </c>
      <c r="BR26" s="428">
        <v>0</v>
      </c>
      <c r="BS26" s="428">
        <v>6572</v>
      </c>
      <c r="BT26" s="428">
        <v>0</v>
      </c>
      <c r="BU26" s="428">
        <v>0</v>
      </c>
      <c r="BV26" s="428">
        <v>0</v>
      </c>
      <c r="BW26" s="428">
        <v>0</v>
      </c>
      <c r="BX26" s="428">
        <v>0</v>
      </c>
      <c r="BY26" s="428">
        <v>0</v>
      </c>
      <c r="BZ26" s="428">
        <v>0</v>
      </c>
      <c r="CA26" s="428">
        <v>0</v>
      </c>
      <c r="CB26" s="428">
        <v>0</v>
      </c>
      <c r="CC26" s="428">
        <v>0</v>
      </c>
      <c r="CD26" s="428">
        <v>0</v>
      </c>
      <c r="CE26" s="428">
        <v>0</v>
      </c>
      <c r="CF26" s="428">
        <v>0</v>
      </c>
      <c r="CG26" s="428">
        <v>0</v>
      </c>
      <c r="CH26" s="428">
        <v>0</v>
      </c>
      <c r="CI26" s="428">
        <v>0</v>
      </c>
      <c r="CJ26" s="428">
        <v>0</v>
      </c>
      <c r="CK26" s="428">
        <v>0</v>
      </c>
      <c r="CL26" s="428">
        <v>0</v>
      </c>
      <c r="CM26" s="428">
        <v>0</v>
      </c>
      <c r="CN26" s="428">
        <v>0</v>
      </c>
      <c r="CO26" s="428">
        <v>0</v>
      </c>
      <c r="CP26" s="428">
        <v>0</v>
      </c>
      <c r="CQ26" s="428">
        <v>0</v>
      </c>
      <c r="CR26" s="428">
        <v>0</v>
      </c>
      <c r="CS26" s="428">
        <v>0</v>
      </c>
      <c r="CT26" s="428">
        <v>0</v>
      </c>
      <c r="CU26" s="428">
        <v>0</v>
      </c>
      <c r="CV26" s="428">
        <v>0</v>
      </c>
      <c r="CW26" s="428">
        <v>0</v>
      </c>
      <c r="CX26" s="428">
        <v>0</v>
      </c>
      <c r="CY26" s="428">
        <v>0</v>
      </c>
      <c r="CZ26" s="428">
        <v>0</v>
      </c>
      <c r="DA26" s="428">
        <v>0</v>
      </c>
      <c r="DB26" s="428">
        <v>0</v>
      </c>
      <c r="DC26" s="428">
        <v>0</v>
      </c>
      <c r="DD26" s="428">
        <v>0</v>
      </c>
      <c r="DE26" s="428">
        <v>0</v>
      </c>
      <c r="DF26" s="428">
        <v>0</v>
      </c>
      <c r="DG26" s="428">
        <v>0</v>
      </c>
      <c r="DH26" s="428">
        <v>0</v>
      </c>
      <c r="DI26" s="428">
        <v>0</v>
      </c>
      <c r="DJ26" s="428">
        <v>0</v>
      </c>
      <c r="DK26" s="428">
        <v>0</v>
      </c>
      <c r="DL26" s="428">
        <v>0</v>
      </c>
      <c r="DM26" s="428">
        <v>0</v>
      </c>
      <c r="DN26" s="428">
        <v>0</v>
      </c>
      <c r="DO26" s="428">
        <v>0</v>
      </c>
      <c r="DP26" s="428">
        <v>0</v>
      </c>
      <c r="DQ26" s="428">
        <v>0</v>
      </c>
      <c r="DR26" s="428">
        <v>0</v>
      </c>
      <c r="DS26" s="428">
        <v>0</v>
      </c>
      <c r="DT26" s="428">
        <v>0</v>
      </c>
      <c r="DU26" s="428">
        <v>0</v>
      </c>
      <c r="DV26" s="428">
        <v>0</v>
      </c>
      <c r="ED26" s="135"/>
      <c r="EE26" s="357" t="s">
        <v>645</v>
      </c>
      <c r="EF26" s="426" t="s">
        <v>776</v>
      </c>
      <c r="EG26" s="426">
        <v>2</v>
      </c>
      <c r="EH26" s="426">
        <v>41</v>
      </c>
      <c r="EI26" s="208" t="str">
        <f t="shared" si="2"/>
        <v>CLX100241</v>
      </c>
      <c r="EJ26" s="426">
        <v>657.2</v>
      </c>
      <c r="EK26" s="426">
        <v>1314.4</v>
      </c>
      <c r="EL26" s="426">
        <v>1971.6</v>
      </c>
      <c r="EM26" s="426">
        <v>2628.8</v>
      </c>
      <c r="EN26" s="426">
        <v>3286</v>
      </c>
      <c r="EO26" s="426">
        <v>3943.2</v>
      </c>
      <c r="EP26" s="426">
        <v>4600.3999999999996</v>
      </c>
      <c r="EQ26" s="426">
        <v>5257.6</v>
      </c>
      <c r="ER26" s="426">
        <v>5914.8</v>
      </c>
      <c r="ES26" s="426">
        <v>6572</v>
      </c>
      <c r="ET26" s="426">
        <v>6572</v>
      </c>
      <c r="EU26" s="426">
        <v>6572</v>
      </c>
      <c r="EV26" s="426">
        <v>6572</v>
      </c>
      <c r="EW26" s="426">
        <v>6572</v>
      </c>
      <c r="EX26" s="426">
        <v>6572</v>
      </c>
      <c r="EY26" s="426">
        <v>6572</v>
      </c>
      <c r="EZ26" s="426">
        <v>6572</v>
      </c>
      <c r="FA26" s="426">
        <v>6572</v>
      </c>
      <c r="FB26" s="426">
        <v>6572</v>
      </c>
      <c r="FC26" s="426">
        <v>6572</v>
      </c>
      <c r="FD26" s="426">
        <v>6572</v>
      </c>
      <c r="FE26" s="426">
        <v>6572</v>
      </c>
      <c r="FF26" s="426">
        <v>6572</v>
      </c>
      <c r="FG26" s="426">
        <v>6572</v>
      </c>
      <c r="FH26" s="426">
        <v>6572</v>
      </c>
      <c r="FI26" s="426">
        <v>6572</v>
      </c>
      <c r="FJ26" s="426">
        <v>6572</v>
      </c>
      <c r="FK26" s="426">
        <v>6572</v>
      </c>
      <c r="FL26" s="426">
        <v>6572</v>
      </c>
      <c r="FM26" s="426">
        <v>6572</v>
      </c>
      <c r="FN26" s="426">
        <v>6572</v>
      </c>
      <c r="FO26" s="426">
        <v>6572</v>
      </c>
      <c r="FP26" s="426">
        <v>6572</v>
      </c>
      <c r="FQ26" s="426">
        <v>6572</v>
      </c>
      <c r="FR26" s="426">
        <v>6572</v>
      </c>
      <c r="FS26" s="426">
        <v>6572</v>
      </c>
      <c r="FT26" s="426">
        <v>6572</v>
      </c>
      <c r="FU26" s="426">
        <v>6572</v>
      </c>
      <c r="FV26" s="426">
        <v>6572</v>
      </c>
      <c r="FW26" s="426">
        <v>6572</v>
      </c>
      <c r="FX26" s="426">
        <v>6572</v>
      </c>
      <c r="FY26" s="426">
        <v>6572</v>
      </c>
      <c r="FZ26" s="426">
        <v>6572</v>
      </c>
      <c r="GA26" s="426">
        <v>6572</v>
      </c>
      <c r="GB26" s="426">
        <v>6572</v>
      </c>
      <c r="GC26" s="426">
        <v>6572</v>
      </c>
      <c r="GD26" s="426">
        <v>6572</v>
      </c>
      <c r="GE26" s="426">
        <v>6572</v>
      </c>
      <c r="GF26" s="426">
        <v>6572</v>
      </c>
      <c r="GG26" s="426">
        <v>0</v>
      </c>
      <c r="GH26" s="426">
        <v>0</v>
      </c>
      <c r="GI26" s="426">
        <v>0</v>
      </c>
      <c r="GJ26" s="426">
        <v>0</v>
      </c>
      <c r="GK26" s="426">
        <v>0</v>
      </c>
      <c r="GL26" s="426">
        <v>0</v>
      </c>
      <c r="GM26" s="426">
        <v>0</v>
      </c>
      <c r="GN26" s="426">
        <v>0</v>
      </c>
      <c r="GO26" s="426">
        <v>0</v>
      </c>
      <c r="GP26" s="426">
        <v>0</v>
      </c>
      <c r="GQ26" s="426">
        <v>0</v>
      </c>
      <c r="GR26" s="426">
        <v>0</v>
      </c>
      <c r="GS26" s="426">
        <v>0</v>
      </c>
      <c r="GT26" s="426">
        <v>0</v>
      </c>
      <c r="GU26" s="426">
        <v>0</v>
      </c>
      <c r="GV26" s="426">
        <v>0</v>
      </c>
      <c r="GW26" s="426">
        <v>0</v>
      </c>
      <c r="GX26" s="426">
        <v>0</v>
      </c>
      <c r="GY26" s="426">
        <v>0</v>
      </c>
      <c r="GZ26" s="426">
        <v>0</v>
      </c>
      <c r="HA26" s="426">
        <v>0</v>
      </c>
      <c r="HB26" s="426">
        <v>0</v>
      </c>
      <c r="HC26" s="426">
        <v>0</v>
      </c>
      <c r="HD26" s="426">
        <v>0</v>
      </c>
      <c r="HE26" s="426">
        <v>0</v>
      </c>
      <c r="HF26" s="426">
        <v>0</v>
      </c>
      <c r="HG26" s="426">
        <v>0</v>
      </c>
      <c r="HH26" s="426">
        <v>0</v>
      </c>
      <c r="HI26" s="426">
        <v>0</v>
      </c>
      <c r="HJ26" s="426">
        <v>0</v>
      </c>
      <c r="HK26" s="426">
        <v>0</v>
      </c>
      <c r="HL26" s="426">
        <v>0</v>
      </c>
      <c r="HM26" s="426">
        <v>0</v>
      </c>
      <c r="HN26" s="426">
        <v>0</v>
      </c>
      <c r="HO26" s="426">
        <v>0</v>
      </c>
      <c r="HP26" s="426">
        <v>0</v>
      </c>
      <c r="HQ26" s="426">
        <v>0</v>
      </c>
      <c r="HR26" s="426">
        <v>0</v>
      </c>
      <c r="HS26" s="426">
        <v>0</v>
      </c>
      <c r="HT26" s="426">
        <v>0</v>
      </c>
      <c r="HU26" s="426">
        <v>0</v>
      </c>
      <c r="HV26" s="426">
        <v>0</v>
      </c>
      <c r="HW26" s="426">
        <v>0</v>
      </c>
      <c r="HX26" s="426">
        <v>0</v>
      </c>
      <c r="HY26" s="426">
        <v>0</v>
      </c>
      <c r="HZ26" s="426">
        <v>0</v>
      </c>
      <c r="IA26" s="426">
        <v>0</v>
      </c>
      <c r="IB26" s="426">
        <v>0</v>
      </c>
      <c r="IC26" s="426">
        <v>0</v>
      </c>
      <c r="ID26" s="426">
        <v>0</v>
      </c>
      <c r="IE26" s="426">
        <v>0</v>
      </c>
      <c r="IF26" s="426">
        <v>0</v>
      </c>
      <c r="IG26" s="426">
        <v>0</v>
      </c>
      <c r="IH26" s="426">
        <v>0</v>
      </c>
      <c r="II26" s="426">
        <v>0</v>
      </c>
      <c r="IJ26" s="426">
        <v>0</v>
      </c>
      <c r="IK26" s="426">
        <v>0</v>
      </c>
      <c r="IL26" s="426">
        <v>0</v>
      </c>
      <c r="IM26" s="426">
        <v>0</v>
      </c>
      <c r="IN26" s="426">
        <v>0</v>
      </c>
      <c r="IO26" s="426">
        <v>0</v>
      </c>
      <c r="IP26" s="426">
        <v>0</v>
      </c>
    </row>
    <row r="27" spans="1:250" ht="15">
      <c r="A27" s="357" t="s">
        <v>645</v>
      </c>
      <c r="B27" s="427" t="s">
        <v>776</v>
      </c>
      <c r="C27" s="427"/>
      <c r="D27" s="427"/>
      <c r="E27" s="427"/>
      <c r="F27" s="427">
        <v>2</v>
      </c>
      <c r="G27" s="427"/>
      <c r="H27" s="427">
        <v>42</v>
      </c>
      <c r="I27" s="427"/>
      <c r="J27" t="str">
        <f t="shared" si="0"/>
        <v>CLX100242</v>
      </c>
      <c r="K27" s="427">
        <v>630</v>
      </c>
      <c r="R27" s="357" t="s">
        <v>645</v>
      </c>
      <c r="S27" s="428" t="s">
        <v>776</v>
      </c>
      <c r="T27" s="428">
        <v>2</v>
      </c>
      <c r="U27" s="428">
        <v>42</v>
      </c>
      <c r="V27" s="208" t="str">
        <f t="shared" si="1"/>
        <v>CLX100242</v>
      </c>
      <c r="W27" s="428">
        <v>0</v>
      </c>
      <c r="X27" s="428">
        <v>0</v>
      </c>
      <c r="Y27" s="428">
        <v>0</v>
      </c>
      <c r="Z27" s="428">
        <v>0</v>
      </c>
      <c r="AA27" s="428">
        <v>0</v>
      </c>
      <c r="AB27" s="428">
        <v>0</v>
      </c>
      <c r="AC27" s="428">
        <v>0</v>
      </c>
      <c r="AD27" s="428">
        <v>0</v>
      </c>
      <c r="AE27" s="428">
        <v>0</v>
      </c>
      <c r="AF27" s="428">
        <v>0</v>
      </c>
      <c r="AG27" s="428">
        <v>0</v>
      </c>
      <c r="AH27" s="428">
        <v>0</v>
      </c>
      <c r="AI27" s="428">
        <v>0</v>
      </c>
      <c r="AJ27" s="428">
        <v>0</v>
      </c>
      <c r="AK27" s="428">
        <v>0</v>
      </c>
      <c r="AL27" s="428">
        <v>0</v>
      </c>
      <c r="AM27" s="428">
        <v>0</v>
      </c>
      <c r="AN27" s="428">
        <v>0</v>
      </c>
      <c r="AO27" s="428">
        <v>0</v>
      </c>
      <c r="AP27" s="428">
        <v>0</v>
      </c>
      <c r="AQ27" s="428">
        <v>0</v>
      </c>
      <c r="AR27" s="428">
        <v>0</v>
      </c>
      <c r="AS27" s="428">
        <v>0</v>
      </c>
      <c r="AT27" s="428">
        <v>0</v>
      </c>
      <c r="AU27" s="428">
        <v>0</v>
      </c>
      <c r="AV27" s="428">
        <v>0</v>
      </c>
      <c r="AW27" s="428">
        <v>0</v>
      </c>
      <c r="AX27" s="428">
        <v>0</v>
      </c>
      <c r="AY27" s="428">
        <v>0</v>
      </c>
      <c r="AZ27" s="428">
        <v>0</v>
      </c>
      <c r="BA27" s="428">
        <v>0</v>
      </c>
      <c r="BB27" s="428">
        <v>0</v>
      </c>
      <c r="BC27" s="428">
        <v>0</v>
      </c>
      <c r="BD27" s="428">
        <v>0</v>
      </c>
      <c r="BE27" s="428">
        <v>0</v>
      </c>
      <c r="BF27" s="428">
        <v>0</v>
      </c>
      <c r="BG27" s="428">
        <v>0</v>
      </c>
      <c r="BH27" s="428">
        <v>0</v>
      </c>
      <c r="BI27" s="428">
        <v>0</v>
      </c>
      <c r="BJ27" s="428">
        <v>0</v>
      </c>
      <c r="BK27" s="428">
        <v>0</v>
      </c>
      <c r="BL27" s="428">
        <v>0</v>
      </c>
      <c r="BM27" s="428">
        <v>0</v>
      </c>
      <c r="BN27" s="428">
        <v>0</v>
      </c>
      <c r="BO27" s="428">
        <v>0</v>
      </c>
      <c r="BP27" s="428">
        <v>0</v>
      </c>
      <c r="BQ27" s="428">
        <v>0</v>
      </c>
      <c r="BR27" s="428">
        <v>6678.0000000000009</v>
      </c>
      <c r="BS27" s="428">
        <v>0</v>
      </c>
      <c r="BT27" s="428">
        <v>0</v>
      </c>
      <c r="BU27" s="428">
        <v>0</v>
      </c>
      <c r="BV27" s="428">
        <v>0</v>
      </c>
      <c r="BW27" s="428">
        <v>0</v>
      </c>
      <c r="BX27" s="428">
        <v>0</v>
      </c>
      <c r="BY27" s="428">
        <v>0</v>
      </c>
      <c r="BZ27" s="428">
        <v>0</v>
      </c>
      <c r="CA27" s="428">
        <v>0</v>
      </c>
      <c r="CB27" s="428">
        <v>0</v>
      </c>
      <c r="CC27" s="428">
        <v>0</v>
      </c>
      <c r="CD27" s="428">
        <v>0</v>
      </c>
      <c r="CE27" s="428">
        <v>0</v>
      </c>
      <c r="CF27" s="428">
        <v>0</v>
      </c>
      <c r="CG27" s="428">
        <v>0</v>
      </c>
      <c r="CH27" s="428">
        <v>0</v>
      </c>
      <c r="CI27" s="428">
        <v>0</v>
      </c>
      <c r="CJ27" s="428">
        <v>0</v>
      </c>
      <c r="CK27" s="428">
        <v>0</v>
      </c>
      <c r="CL27" s="428">
        <v>0</v>
      </c>
      <c r="CM27" s="428">
        <v>0</v>
      </c>
      <c r="CN27" s="428">
        <v>0</v>
      </c>
      <c r="CO27" s="428">
        <v>0</v>
      </c>
      <c r="CP27" s="428">
        <v>0</v>
      </c>
      <c r="CQ27" s="428">
        <v>0</v>
      </c>
      <c r="CR27" s="428">
        <v>0</v>
      </c>
      <c r="CS27" s="428">
        <v>0</v>
      </c>
      <c r="CT27" s="428">
        <v>0</v>
      </c>
      <c r="CU27" s="428">
        <v>0</v>
      </c>
      <c r="CV27" s="428">
        <v>0</v>
      </c>
      <c r="CW27" s="428">
        <v>0</v>
      </c>
      <c r="CX27" s="428">
        <v>0</v>
      </c>
      <c r="CY27" s="428">
        <v>0</v>
      </c>
      <c r="CZ27" s="428">
        <v>0</v>
      </c>
      <c r="DA27" s="428">
        <v>0</v>
      </c>
      <c r="DB27" s="428">
        <v>0</v>
      </c>
      <c r="DC27" s="428">
        <v>0</v>
      </c>
      <c r="DD27" s="428">
        <v>0</v>
      </c>
      <c r="DE27" s="428">
        <v>0</v>
      </c>
      <c r="DF27" s="428">
        <v>0</v>
      </c>
      <c r="DG27" s="428">
        <v>0</v>
      </c>
      <c r="DH27" s="428">
        <v>0</v>
      </c>
      <c r="DI27" s="428">
        <v>0</v>
      </c>
      <c r="DJ27" s="428">
        <v>0</v>
      </c>
      <c r="DK27" s="428">
        <v>0</v>
      </c>
      <c r="DL27" s="428">
        <v>0</v>
      </c>
      <c r="DM27" s="428">
        <v>0</v>
      </c>
      <c r="DN27" s="428">
        <v>0</v>
      </c>
      <c r="DO27" s="428">
        <v>0</v>
      </c>
      <c r="DP27" s="428">
        <v>0</v>
      </c>
      <c r="DQ27" s="428">
        <v>0</v>
      </c>
      <c r="DR27" s="428">
        <v>0</v>
      </c>
      <c r="DS27" s="428">
        <v>0</v>
      </c>
      <c r="DT27" s="428">
        <v>0</v>
      </c>
      <c r="DU27" s="428">
        <v>0</v>
      </c>
      <c r="DV27" s="428">
        <v>0</v>
      </c>
      <c r="ED27" s="135"/>
      <c r="EE27" s="357" t="s">
        <v>645</v>
      </c>
      <c r="EF27" s="426" t="s">
        <v>776</v>
      </c>
      <c r="EG27" s="426">
        <v>2</v>
      </c>
      <c r="EH27" s="426">
        <v>42</v>
      </c>
      <c r="EI27" s="208" t="str">
        <f t="shared" si="2"/>
        <v>CLX100242</v>
      </c>
      <c r="EJ27" s="426">
        <v>667.8</v>
      </c>
      <c r="EK27" s="426">
        <v>1335.6</v>
      </c>
      <c r="EL27" s="426">
        <v>2003.4</v>
      </c>
      <c r="EM27" s="426">
        <v>2671.2</v>
      </c>
      <c r="EN27" s="426">
        <v>3339</v>
      </c>
      <c r="EO27" s="426">
        <v>4006.8</v>
      </c>
      <c r="EP27" s="426">
        <v>4674.6000000000004</v>
      </c>
      <c r="EQ27" s="426">
        <v>5342.4</v>
      </c>
      <c r="ER27" s="426">
        <v>6010.2</v>
      </c>
      <c r="ES27" s="426">
        <v>6678</v>
      </c>
      <c r="ET27" s="426">
        <v>6678</v>
      </c>
      <c r="EU27" s="426">
        <v>6678</v>
      </c>
      <c r="EV27" s="426">
        <v>6678</v>
      </c>
      <c r="EW27" s="426">
        <v>6678</v>
      </c>
      <c r="EX27" s="426">
        <v>6678</v>
      </c>
      <c r="EY27" s="426">
        <v>6678</v>
      </c>
      <c r="EZ27" s="426">
        <v>6678</v>
      </c>
      <c r="FA27" s="426">
        <v>6678</v>
      </c>
      <c r="FB27" s="426">
        <v>6678</v>
      </c>
      <c r="FC27" s="426">
        <v>6678</v>
      </c>
      <c r="FD27" s="426">
        <v>6678</v>
      </c>
      <c r="FE27" s="426">
        <v>6678</v>
      </c>
      <c r="FF27" s="426">
        <v>6678</v>
      </c>
      <c r="FG27" s="426">
        <v>6678</v>
      </c>
      <c r="FH27" s="426">
        <v>6678</v>
      </c>
      <c r="FI27" s="426">
        <v>6678</v>
      </c>
      <c r="FJ27" s="426">
        <v>6678</v>
      </c>
      <c r="FK27" s="426">
        <v>6678</v>
      </c>
      <c r="FL27" s="426">
        <v>6678</v>
      </c>
      <c r="FM27" s="426">
        <v>6678</v>
      </c>
      <c r="FN27" s="426">
        <v>6678</v>
      </c>
      <c r="FO27" s="426">
        <v>6678</v>
      </c>
      <c r="FP27" s="426">
        <v>6678</v>
      </c>
      <c r="FQ27" s="426">
        <v>6678</v>
      </c>
      <c r="FR27" s="426">
        <v>6678</v>
      </c>
      <c r="FS27" s="426">
        <v>6678</v>
      </c>
      <c r="FT27" s="426">
        <v>6678</v>
      </c>
      <c r="FU27" s="426">
        <v>6678</v>
      </c>
      <c r="FV27" s="426">
        <v>6678</v>
      </c>
      <c r="FW27" s="426">
        <v>6678</v>
      </c>
      <c r="FX27" s="426">
        <v>6678</v>
      </c>
      <c r="FY27" s="426">
        <v>6678</v>
      </c>
      <c r="FZ27" s="426">
        <v>6678</v>
      </c>
      <c r="GA27" s="426">
        <v>6678</v>
      </c>
      <c r="GB27" s="426">
        <v>6678</v>
      </c>
      <c r="GC27" s="426">
        <v>6678</v>
      </c>
      <c r="GD27" s="426">
        <v>6678</v>
      </c>
      <c r="GE27" s="426">
        <v>6678</v>
      </c>
      <c r="GF27" s="426">
        <v>0</v>
      </c>
      <c r="GG27" s="426">
        <v>0</v>
      </c>
      <c r="GH27" s="426">
        <v>0</v>
      </c>
      <c r="GI27" s="426">
        <v>0</v>
      </c>
      <c r="GJ27" s="426">
        <v>0</v>
      </c>
      <c r="GK27" s="426">
        <v>0</v>
      </c>
      <c r="GL27" s="426">
        <v>0</v>
      </c>
      <c r="GM27" s="426">
        <v>0</v>
      </c>
      <c r="GN27" s="426">
        <v>0</v>
      </c>
      <c r="GO27" s="426">
        <v>0</v>
      </c>
      <c r="GP27" s="426">
        <v>0</v>
      </c>
      <c r="GQ27" s="426">
        <v>0</v>
      </c>
      <c r="GR27" s="426">
        <v>0</v>
      </c>
      <c r="GS27" s="426">
        <v>0</v>
      </c>
      <c r="GT27" s="426">
        <v>0</v>
      </c>
      <c r="GU27" s="426">
        <v>0</v>
      </c>
      <c r="GV27" s="426">
        <v>0</v>
      </c>
      <c r="GW27" s="426">
        <v>0</v>
      </c>
      <c r="GX27" s="426">
        <v>0</v>
      </c>
      <c r="GY27" s="426">
        <v>0</v>
      </c>
      <c r="GZ27" s="426">
        <v>0</v>
      </c>
      <c r="HA27" s="426">
        <v>0</v>
      </c>
      <c r="HB27" s="426">
        <v>0</v>
      </c>
      <c r="HC27" s="426">
        <v>0</v>
      </c>
      <c r="HD27" s="426">
        <v>0</v>
      </c>
      <c r="HE27" s="426">
        <v>0</v>
      </c>
      <c r="HF27" s="426">
        <v>0</v>
      </c>
      <c r="HG27" s="426">
        <v>0</v>
      </c>
      <c r="HH27" s="426">
        <v>0</v>
      </c>
      <c r="HI27" s="426">
        <v>0</v>
      </c>
      <c r="HJ27" s="426">
        <v>0</v>
      </c>
      <c r="HK27" s="426">
        <v>0</v>
      </c>
      <c r="HL27" s="426">
        <v>0</v>
      </c>
      <c r="HM27" s="426">
        <v>0</v>
      </c>
      <c r="HN27" s="426">
        <v>0</v>
      </c>
      <c r="HO27" s="426">
        <v>0</v>
      </c>
      <c r="HP27" s="426">
        <v>0</v>
      </c>
      <c r="HQ27" s="426">
        <v>0</v>
      </c>
      <c r="HR27" s="426">
        <v>0</v>
      </c>
      <c r="HS27" s="426">
        <v>0</v>
      </c>
      <c r="HT27" s="426">
        <v>0</v>
      </c>
      <c r="HU27" s="426">
        <v>0</v>
      </c>
      <c r="HV27" s="426">
        <v>0</v>
      </c>
      <c r="HW27" s="426">
        <v>0</v>
      </c>
      <c r="HX27" s="426">
        <v>0</v>
      </c>
      <c r="HY27" s="426">
        <v>0</v>
      </c>
      <c r="HZ27" s="426">
        <v>0</v>
      </c>
      <c r="IA27" s="426">
        <v>0</v>
      </c>
      <c r="IB27" s="426">
        <v>0</v>
      </c>
      <c r="IC27" s="426">
        <v>0</v>
      </c>
      <c r="ID27" s="426">
        <v>0</v>
      </c>
      <c r="IE27" s="426">
        <v>0</v>
      </c>
      <c r="IF27" s="426">
        <v>0</v>
      </c>
      <c r="IG27" s="426">
        <v>0</v>
      </c>
      <c r="IH27" s="426">
        <v>0</v>
      </c>
      <c r="II27" s="426">
        <v>0</v>
      </c>
      <c r="IJ27" s="426">
        <v>0</v>
      </c>
      <c r="IK27" s="426">
        <v>0</v>
      </c>
      <c r="IL27" s="426">
        <v>0</v>
      </c>
      <c r="IM27" s="426">
        <v>0</v>
      </c>
      <c r="IN27" s="426">
        <v>0</v>
      </c>
      <c r="IO27" s="426">
        <v>0</v>
      </c>
      <c r="IP27" s="426">
        <v>0</v>
      </c>
    </row>
    <row r="28" spans="1:250" ht="15">
      <c r="A28" s="357" t="s">
        <v>645</v>
      </c>
      <c r="B28" s="427" t="s">
        <v>776</v>
      </c>
      <c r="C28" s="427"/>
      <c r="D28" s="427"/>
      <c r="E28" s="427"/>
      <c r="F28" s="427">
        <v>2</v>
      </c>
      <c r="G28" s="427"/>
      <c r="H28" s="427">
        <v>43</v>
      </c>
      <c r="I28" s="427"/>
      <c r="J28" t="str">
        <f t="shared" si="0"/>
        <v>CLX100243</v>
      </c>
      <c r="K28" s="427">
        <v>640</v>
      </c>
      <c r="R28" s="357" t="s">
        <v>645</v>
      </c>
      <c r="S28" s="428" t="s">
        <v>776</v>
      </c>
      <c r="T28" s="428">
        <v>2</v>
      </c>
      <c r="U28" s="428">
        <v>43</v>
      </c>
      <c r="V28" s="208" t="str">
        <f t="shared" si="1"/>
        <v>CLX100243</v>
      </c>
      <c r="W28" s="428">
        <v>0</v>
      </c>
      <c r="X28" s="428">
        <v>0</v>
      </c>
      <c r="Y28" s="428">
        <v>0</v>
      </c>
      <c r="Z28" s="428">
        <v>0</v>
      </c>
      <c r="AA28" s="428">
        <v>0</v>
      </c>
      <c r="AB28" s="428">
        <v>0</v>
      </c>
      <c r="AC28" s="428">
        <v>0</v>
      </c>
      <c r="AD28" s="428">
        <v>0</v>
      </c>
      <c r="AE28" s="428">
        <v>0</v>
      </c>
      <c r="AF28" s="428">
        <v>0</v>
      </c>
      <c r="AG28" s="428">
        <v>0</v>
      </c>
      <c r="AH28" s="428">
        <v>0</v>
      </c>
      <c r="AI28" s="428">
        <v>0</v>
      </c>
      <c r="AJ28" s="428">
        <v>0</v>
      </c>
      <c r="AK28" s="428">
        <v>0</v>
      </c>
      <c r="AL28" s="428">
        <v>0</v>
      </c>
      <c r="AM28" s="428">
        <v>0</v>
      </c>
      <c r="AN28" s="428">
        <v>0</v>
      </c>
      <c r="AO28" s="428">
        <v>0</v>
      </c>
      <c r="AP28" s="428">
        <v>0</v>
      </c>
      <c r="AQ28" s="428">
        <v>0</v>
      </c>
      <c r="AR28" s="428">
        <v>0</v>
      </c>
      <c r="AS28" s="428">
        <v>0</v>
      </c>
      <c r="AT28" s="428">
        <v>0</v>
      </c>
      <c r="AU28" s="428">
        <v>0</v>
      </c>
      <c r="AV28" s="428">
        <v>0</v>
      </c>
      <c r="AW28" s="428">
        <v>0</v>
      </c>
      <c r="AX28" s="428">
        <v>0</v>
      </c>
      <c r="AY28" s="428">
        <v>0</v>
      </c>
      <c r="AZ28" s="428">
        <v>0</v>
      </c>
      <c r="BA28" s="428">
        <v>0</v>
      </c>
      <c r="BB28" s="428">
        <v>0</v>
      </c>
      <c r="BC28" s="428">
        <v>0</v>
      </c>
      <c r="BD28" s="428">
        <v>0</v>
      </c>
      <c r="BE28" s="428">
        <v>0</v>
      </c>
      <c r="BF28" s="428">
        <v>0</v>
      </c>
      <c r="BG28" s="428">
        <v>0</v>
      </c>
      <c r="BH28" s="428">
        <v>0</v>
      </c>
      <c r="BI28" s="428">
        <v>0</v>
      </c>
      <c r="BJ28" s="428">
        <v>0</v>
      </c>
      <c r="BK28" s="428">
        <v>0</v>
      </c>
      <c r="BL28" s="428">
        <v>0</v>
      </c>
      <c r="BM28" s="428">
        <v>0</v>
      </c>
      <c r="BN28" s="428">
        <v>0</v>
      </c>
      <c r="BO28" s="428">
        <v>0</v>
      </c>
      <c r="BP28" s="428">
        <v>0</v>
      </c>
      <c r="BQ28" s="428">
        <v>6784.0000000000009</v>
      </c>
      <c r="BR28" s="428">
        <v>0</v>
      </c>
      <c r="BS28" s="428">
        <v>0</v>
      </c>
      <c r="BT28" s="428">
        <v>0</v>
      </c>
      <c r="BU28" s="428">
        <v>0</v>
      </c>
      <c r="BV28" s="428">
        <v>0</v>
      </c>
      <c r="BW28" s="428">
        <v>0</v>
      </c>
      <c r="BX28" s="428">
        <v>0</v>
      </c>
      <c r="BY28" s="428">
        <v>0</v>
      </c>
      <c r="BZ28" s="428">
        <v>0</v>
      </c>
      <c r="CA28" s="428">
        <v>0</v>
      </c>
      <c r="CB28" s="428">
        <v>0</v>
      </c>
      <c r="CC28" s="428">
        <v>0</v>
      </c>
      <c r="CD28" s="428">
        <v>0</v>
      </c>
      <c r="CE28" s="428">
        <v>0</v>
      </c>
      <c r="CF28" s="428">
        <v>0</v>
      </c>
      <c r="CG28" s="428">
        <v>0</v>
      </c>
      <c r="CH28" s="428">
        <v>0</v>
      </c>
      <c r="CI28" s="428">
        <v>0</v>
      </c>
      <c r="CJ28" s="428">
        <v>0</v>
      </c>
      <c r="CK28" s="428">
        <v>0</v>
      </c>
      <c r="CL28" s="428">
        <v>0</v>
      </c>
      <c r="CM28" s="428">
        <v>0</v>
      </c>
      <c r="CN28" s="428">
        <v>0</v>
      </c>
      <c r="CO28" s="428">
        <v>0</v>
      </c>
      <c r="CP28" s="428">
        <v>0</v>
      </c>
      <c r="CQ28" s="428">
        <v>0</v>
      </c>
      <c r="CR28" s="428">
        <v>0</v>
      </c>
      <c r="CS28" s="428">
        <v>0</v>
      </c>
      <c r="CT28" s="428">
        <v>0</v>
      </c>
      <c r="CU28" s="428">
        <v>0</v>
      </c>
      <c r="CV28" s="428">
        <v>0</v>
      </c>
      <c r="CW28" s="428">
        <v>0</v>
      </c>
      <c r="CX28" s="428">
        <v>0</v>
      </c>
      <c r="CY28" s="428">
        <v>0</v>
      </c>
      <c r="CZ28" s="428">
        <v>0</v>
      </c>
      <c r="DA28" s="428">
        <v>0</v>
      </c>
      <c r="DB28" s="428">
        <v>0</v>
      </c>
      <c r="DC28" s="428">
        <v>0</v>
      </c>
      <c r="DD28" s="428">
        <v>0</v>
      </c>
      <c r="DE28" s="428">
        <v>0</v>
      </c>
      <c r="DF28" s="428">
        <v>0</v>
      </c>
      <c r="DG28" s="428">
        <v>0</v>
      </c>
      <c r="DH28" s="428">
        <v>0</v>
      </c>
      <c r="DI28" s="428">
        <v>0</v>
      </c>
      <c r="DJ28" s="428">
        <v>0</v>
      </c>
      <c r="DK28" s="428">
        <v>0</v>
      </c>
      <c r="DL28" s="428">
        <v>0</v>
      </c>
      <c r="DM28" s="428">
        <v>0</v>
      </c>
      <c r="DN28" s="428">
        <v>0</v>
      </c>
      <c r="DO28" s="428">
        <v>0</v>
      </c>
      <c r="DP28" s="428">
        <v>0</v>
      </c>
      <c r="DQ28" s="428">
        <v>0</v>
      </c>
      <c r="DR28" s="428">
        <v>0</v>
      </c>
      <c r="DS28" s="428">
        <v>0</v>
      </c>
      <c r="DT28" s="428">
        <v>0</v>
      </c>
      <c r="DU28" s="428">
        <v>0</v>
      </c>
      <c r="DV28" s="428">
        <v>0</v>
      </c>
      <c r="ED28" s="135"/>
      <c r="EE28" s="357" t="s">
        <v>645</v>
      </c>
      <c r="EF28" s="426" t="s">
        <v>776</v>
      </c>
      <c r="EG28" s="426">
        <v>2</v>
      </c>
      <c r="EH28" s="426">
        <v>43</v>
      </c>
      <c r="EI28" s="208" t="str">
        <f t="shared" si="2"/>
        <v>CLX100243</v>
      </c>
      <c r="EJ28" s="426">
        <v>678.4</v>
      </c>
      <c r="EK28" s="426">
        <v>1356.8</v>
      </c>
      <c r="EL28" s="426">
        <v>2035.2</v>
      </c>
      <c r="EM28" s="426">
        <v>2713.6</v>
      </c>
      <c r="EN28" s="426">
        <v>3392</v>
      </c>
      <c r="EO28" s="426">
        <v>4070.4</v>
      </c>
      <c r="EP28" s="426">
        <v>4748.8</v>
      </c>
      <c r="EQ28" s="426">
        <v>5427.2</v>
      </c>
      <c r="ER28" s="426">
        <v>6105.6</v>
      </c>
      <c r="ES28" s="426">
        <v>6784</v>
      </c>
      <c r="ET28" s="426">
        <v>6784</v>
      </c>
      <c r="EU28" s="426">
        <v>6784</v>
      </c>
      <c r="EV28" s="426">
        <v>6784</v>
      </c>
      <c r="EW28" s="426">
        <v>6784</v>
      </c>
      <c r="EX28" s="426">
        <v>6784</v>
      </c>
      <c r="EY28" s="426">
        <v>6784</v>
      </c>
      <c r="EZ28" s="426">
        <v>6784</v>
      </c>
      <c r="FA28" s="426">
        <v>6784</v>
      </c>
      <c r="FB28" s="426">
        <v>6784</v>
      </c>
      <c r="FC28" s="426">
        <v>6784</v>
      </c>
      <c r="FD28" s="426">
        <v>6784</v>
      </c>
      <c r="FE28" s="426">
        <v>6784</v>
      </c>
      <c r="FF28" s="426">
        <v>6784</v>
      </c>
      <c r="FG28" s="426">
        <v>6784</v>
      </c>
      <c r="FH28" s="426">
        <v>6784</v>
      </c>
      <c r="FI28" s="426">
        <v>6784</v>
      </c>
      <c r="FJ28" s="426">
        <v>6784</v>
      </c>
      <c r="FK28" s="426">
        <v>6784</v>
      </c>
      <c r="FL28" s="426">
        <v>6784</v>
      </c>
      <c r="FM28" s="426">
        <v>6784</v>
      </c>
      <c r="FN28" s="426">
        <v>6784</v>
      </c>
      <c r="FO28" s="426">
        <v>6784</v>
      </c>
      <c r="FP28" s="426">
        <v>6784</v>
      </c>
      <c r="FQ28" s="426">
        <v>6784</v>
      </c>
      <c r="FR28" s="426">
        <v>6784</v>
      </c>
      <c r="FS28" s="426">
        <v>6784</v>
      </c>
      <c r="FT28" s="426">
        <v>6784</v>
      </c>
      <c r="FU28" s="426">
        <v>6784</v>
      </c>
      <c r="FV28" s="426">
        <v>6784</v>
      </c>
      <c r="FW28" s="426">
        <v>6784</v>
      </c>
      <c r="FX28" s="426">
        <v>6784</v>
      </c>
      <c r="FY28" s="426">
        <v>6784</v>
      </c>
      <c r="FZ28" s="426">
        <v>6784</v>
      </c>
      <c r="GA28" s="426">
        <v>6784</v>
      </c>
      <c r="GB28" s="426">
        <v>6784</v>
      </c>
      <c r="GC28" s="426">
        <v>6784</v>
      </c>
      <c r="GD28" s="426">
        <v>6784</v>
      </c>
      <c r="GE28" s="426">
        <v>0</v>
      </c>
      <c r="GF28" s="426">
        <v>0</v>
      </c>
      <c r="GG28" s="426">
        <v>0</v>
      </c>
      <c r="GH28" s="426">
        <v>0</v>
      </c>
      <c r="GI28" s="426">
        <v>0</v>
      </c>
      <c r="GJ28" s="426">
        <v>0</v>
      </c>
      <c r="GK28" s="426">
        <v>0</v>
      </c>
      <c r="GL28" s="426">
        <v>0</v>
      </c>
      <c r="GM28" s="426">
        <v>0</v>
      </c>
      <c r="GN28" s="426">
        <v>0</v>
      </c>
      <c r="GO28" s="426">
        <v>0</v>
      </c>
      <c r="GP28" s="426">
        <v>0</v>
      </c>
      <c r="GQ28" s="426">
        <v>0</v>
      </c>
      <c r="GR28" s="426">
        <v>0</v>
      </c>
      <c r="GS28" s="426">
        <v>0</v>
      </c>
      <c r="GT28" s="426">
        <v>0</v>
      </c>
      <c r="GU28" s="426">
        <v>0</v>
      </c>
      <c r="GV28" s="426">
        <v>0</v>
      </c>
      <c r="GW28" s="426">
        <v>0</v>
      </c>
      <c r="GX28" s="426">
        <v>0</v>
      </c>
      <c r="GY28" s="426">
        <v>0</v>
      </c>
      <c r="GZ28" s="426">
        <v>0</v>
      </c>
      <c r="HA28" s="426">
        <v>0</v>
      </c>
      <c r="HB28" s="426">
        <v>0</v>
      </c>
      <c r="HC28" s="426">
        <v>0</v>
      </c>
      <c r="HD28" s="426">
        <v>0</v>
      </c>
      <c r="HE28" s="426">
        <v>0</v>
      </c>
      <c r="HF28" s="426">
        <v>0</v>
      </c>
      <c r="HG28" s="426">
        <v>0</v>
      </c>
      <c r="HH28" s="426">
        <v>0</v>
      </c>
      <c r="HI28" s="426">
        <v>0</v>
      </c>
      <c r="HJ28" s="426">
        <v>0</v>
      </c>
      <c r="HK28" s="426">
        <v>0</v>
      </c>
      <c r="HL28" s="426">
        <v>0</v>
      </c>
      <c r="HM28" s="426">
        <v>0</v>
      </c>
      <c r="HN28" s="426">
        <v>0</v>
      </c>
      <c r="HO28" s="426">
        <v>0</v>
      </c>
      <c r="HP28" s="426">
        <v>0</v>
      </c>
      <c r="HQ28" s="426">
        <v>0</v>
      </c>
      <c r="HR28" s="426">
        <v>0</v>
      </c>
      <c r="HS28" s="426">
        <v>0</v>
      </c>
      <c r="HT28" s="426">
        <v>0</v>
      </c>
      <c r="HU28" s="426">
        <v>0</v>
      </c>
      <c r="HV28" s="426">
        <v>0</v>
      </c>
      <c r="HW28" s="426">
        <v>0</v>
      </c>
      <c r="HX28" s="426">
        <v>0</v>
      </c>
      <c r="HY28" s="426">
        <v>0</v>
      </c>
      <c r="HZ28" s="426">
        <v>0</v>
      </c>
      <c r="IA28" s="426">
        <v>0</v>
      </c>
      <c r="IB28" s="426">
        <v>0</v>
      </c>
      <c r="IC28" s="426">
        <v>0</v>
      </c>
      <c r="ID28" s="426">
        <v>0</v>
      </c>
      <c r="IE28" s="426">
        <v>0</v>
      </c>
      <c r="IF28" s="426">
        <v>0</v>
      </c>
      <c r="IG28" s="426">
        <v>0</v>
      </c>
      <c r="IH28" s="426">
        <v>0</v>
      </c>
      <c r="II28" s="426">
        <v>0</v>
      </c>
      <c r="IJ28" s="426">
        <v>0</v>
      </c>
      <c r="IK28" s="426">
        <v>0</v>
      </c>
      <c r="IL28" s="426">
        <v>0</v>
      </c>
      <c r="IM28" s="426">
        <v>0</v>
      </c>
      <c r="IN28" s="426">
        <v>0</v>
      </c>
      <c r="IO28" s="426">
        <v>0</v>
      </c>
      <c r="IP28" s="426">
        <v>0</v>
      </c>
    </row>
    <row r="29" spans="1:250" ht="15">
      <c r="A29" s="357" t="s">
        <v>645</v>
      </c>
      <c r="B29" s="427" t="s">
        <v>776</v>
      </c>
      <c r="C29" s="427"/>
      <c r="D29" s="427"/>
      <c r="E29" s="427"/>
      <c r="F29" s="427">
        <v>2</v>
      </c>
      <c r="G29" s="427"/>
      <c r="H29" s="427">
        <v>44</v>
      </c>
      <c r="I29" s="427"/>
      <c r="J29" t="str">
        <f t="shared" si="0"/>
        <v>CLX100244</v>
      </c>
      <c r="K29" s="427">
        <v>650</v>
      </c>
      <c r="R29" s="357" t="s">
        <v>645</v>
      </c>
      <c r="S29" s="428" t="s">
        <v>776</v>
      </c>
      <c r="T29" s="428">
        <v>2</v>
      </c>
      <c r="U29" s="428">
        <v>44</v>
      </c>
      <c r="V29" s="208" t="str">
        <f t="shared" si="1"/>
        <v>CLX100244</v>
      </c>
      <c r="W29" s="428">
        <v>0</v>
      </c>
      <c r="X29" s="428">
        <v>0</v>
      </c>
      <c r="Y29" s="428">
        <v>0</v>
      </c>
      <c r="Z29" s="428">
        <v>0</v>
      </c>
      <c r="AA29" s="428">
        <v>0</v>
      </c>
      <c r="AB29" s="428">
        <v>0</v>
      </c>
      <c r="AC29" s="428">
        <v>0</v>
      </c>
      <c r="AD29" s="428">
        <v>0</v>
      </c>
      <c r="AE29" s="428">
        <v>0</v>
      </c>
      <c r="AF29" s="428">
        <v>0</v>
      </c>
      <c r="AG29" s="428">
        <v>0</v>
      </c>
      <c r="AH29" s="428">
        <v>0</v>
      </c>
      <c r="AI29" s="428">
        <v>0</v>
      </c>
      <c r="AJ29" s="428">
        <v>0</v>
      </c>
      <c r="AK29" s="428">
        <v>0</v>
      </c>
      <c r="AL29" s="428">
        <v>0</v>
      </c>
      <c r="AM29" s="428">
        <v>0</v>
      </c>
      <c r="AN29" s="428">
        <v>0</v>
      </c>
      <c r="AO29" s="428">
        <v>0</v>
      </c>
      <c r="AP29" s="428">
        <v>0</v>
      </c>
      <c r="AQ29" s="428">
        <v>0</v>
      </c>
      <c r="AR29" s="428">
        <v>0</v>
      </c>
      <c r="AS29" s="428">
        <v>0</v>
      </c>
      <c r="AT29" s="428">
        <v>0</v>
      </c>
      <c r="AU29" s="428">
        <v>0</v>
      </c>
      <c r="AV29" s="428">
        <v>0</v>
      </c>
      <c r="AW29" s="428">
        <v>0</v>
      </c>
      <c r="AX29" s="428">
        <v>0</v>
      </c>
      <c r="AY29" s="428">
        <v>0</v>
      </c>
      <c r="AZ29" s="428">
        <v>0</v>
      </c>
      <c r="BA29" s="428">
        <v>0</v>
      </c>
      <c r="BB29" s="428">
        <v>0</v>
      </c>
      <c r="BC29" s="428">
        <v>0</v>
      </c>
      <c r="BD29" s="428">
        <v>0</v>
      </c>
      <c r="BE29" s="428">
        <v>0</v>
      </c>
      <c r="BF29" s="428">
        <v>0</v>
      </c>
      <c r="BG29" s="428">
        <v>0</v>
      </c>
      <c r="BH29" s="428">
        <v>0</v>
      </c>
      <c r="BI29" s="428">
        <v>0</v>
      </c>
      <c r="BJ29" s="428">
        <v>0</v>
      </c>
      <c r="BK29" s="428">
        <v>0</v>
      </c>
      <c r="BL29" s="428">
        <v>0</v>
      </c>
      <c r="BM29" s="428">
        <v>0</v>
      </c>
      <c r="BN29" s="428">
        <v>0</v>
      </c>
      <c r="BO29" s="428">
        <v>0</v>
      </c>
      <c r="BP29" s="428">
        <v>6890</v>
      </c>
      <c r="BQ29" s="428">
        <v>0</v>
      </c>
      <c r="BR29" s="428">
        <v>0</v>
      </c>
      <c r="BS29" s="428">
        <v>0</v>
      </c>
      <c r="BT29" s="428">
        <v>0</v>
      </c>
      <c r="BU29" s="428">
        <v>0</v>
      </c>
      <c r="BV29" s="428">
        <v>0</v>
      </c>
      <c r="BW29" s="428">
        <v>0</v>
      </c>
      <c r="BX29" s="428">
        <v>0</v>
      </c>
      <c r="BY29" s="428">
        <v>0</v>
      </c>
      <c r="BZ29" s="428">
        <v>0</v>
      </c>
      <c r="CA29" s="428">
        <v>0</v>
      </c>
      <c r="CB29" s="428">
        <v>0</v>
      </c>
      <c r="CC29" s="428">
        <v>0</v>
      </c>
      <c r="CD29" s="428">
        <v>0</v>
      </c>
      <c r="CE29" s="428">
        <v>0</v>
      </c>
      <c r="CF29" s="428">
        <v>0</v>
      </c>
      <c r="CG29" s="428">
        <v>0</v>
      </c>
      <c r="CH29" s="428">
        <v>0</v>
      </c>
      <c r="CI29" s="428">
        <v>0</v>
      </c>
      <c r="CJ29" s="428">
        <v>0</v>
      </c>
      <c r="CK29" s="428">
        <v>0</v>
      </c>
      <c r="CL29" s="428">
        <v>0</v>
      </c>
      <c r="CM29" s="428">
        <v>0</v>
      </c>
      <c r="CN29" s="428">
        <v>0</v>
      </c>
      <c r="CO29" s="428">
        <v>0</v>
      </c>
      <c r="CP29" s="428">
        <v>0</v>
      </c>
      <c r="CQ29" s="428">
        <v>0</v>
      </c>
      <c r="CR29" s="428">
        <v>0</v>
      </c>
      <c r="CS29" s="428">
        <v>0</v>
      </c>
      <c r="CT29" s="428">
        <v>0</v>
      </c>
      <c r="CU29" s="428">
        <v>0</v>
      </c>
      <c r="CV29" s="428">
        <v>0</v>
      </c>
      <c r="CW29" s="428">
        <v>0</v>
      </c>
      <c r="CX29" s="428">
        <v>0</v>
      </c>
      <c r="CY29" s="428">
        <v>0</v>
      </c>
      <c r="CZ29" s="428">
        <v>0</v>
      </c>
      <c r="DA29" s="428">
        <v>0</v>
      </c>
      <c r="DB29" s="428">
        <v>0</v>
      </c>
      <c r="DC29" s="428">
        <v>0</v>
      </c>
      <c r="DD29" s="428">
        <v>0</v>
      </c>
      <c r="DE29" s="428">
        <v>0</v>
      </c>
      <c r="DF29" s="428">
        <v>0</v>
      </c>
      <c r="DG29" s="428">
        <v>0</v>
      </c>
      <c r="DH29" s="428">
        <v>0</v>
      </c>
      <c r="DI29" s="428">
        <v>0</v>
      </c>
      <c r="DJ29" s="428">
        <v>0</v>
      </c>
      <c r="DK29" s="428">
        <v>0</v>
      </c>
      <c r="DL29" s="428">
        <v>0</v>
      </c>
      <c r="DM29" s="428">
        <v>0</v>
      </c>
      <c r="DN29" s="428">
        <v>0</v>
      </c>
      <c r="DO29" s="428">
        <v>0</v>
      </c>
      <c r="DP29" s="428">
        <v>0</v>
      </c>
      <c r="DQ29" s="428">
        <v>0</v>
      </c>
      <c r="DR29" s="428">
        <v>0</v>
      </c>
      <c r="DS29" s="428">
        <v>0</v>
      </c>
      <c r="DT29" s="428">
        <v>0</v>
      </c>
      <c r="DU29" s="428">
        <v>0</v>
      </c>
      <c r="DV29" s="428">
        <v>0</v>
      </c>
      <c r="ED29" s="135"/>
      <c r="EE29" s="357" t="s">
        <v>645</v>
      </c>
      <c r="EF29" s="426" t="s">
        <v>776</v>
      </c>
      <c r="EG29" s="426">
        <v>2</v>
      </c>
      <c r="EH29" s="426">
        <v>44</v>
      </c>
      <c r="EI29" s="208" t="str">
        <f t="shared" si="2"/>
        <v>CLX100244</v>
      </c>
      <c r="EJ29" s="426">
        <v>689</v>
      </c>
      <c r="EK29" s="426">
        <v>1378</v>
      </c>
      <c r="EL29" s="426">
        <v>2067</v>
      </c>
      <c r="EM29" s="426">
        <v>2756</v>
      </c>
      <c r="EN29" s="426">
        <v>3445</v>
      </c>
      <c r="EO29" s="426">
        <v>4134</v>
      </c>
      <c r="EP29" s="426">
        <v>4823</v>
      </c>
      <c r="EQ29" s="426">
        <v>5512</v>
      </c>
      <c r="ER29" s="426">
        <v>6201</v>
      </c>
      <c r="ES29" s="426">
        <v>6890</v>
      </c>
      <c r="ET29" s="426">
        <v>6890</v>
      </c>
      <c r="EU29" s="426">
        <v>6890</v>
      </c>
      <c r="EV29" s="426">
        <v>6890</v>
      </c>
      <c r="EW29" s="426">
        <v>6890</v>
      </c>
      <c r="EX29" s="426">
        <v>6890</v>
      </c>
      <c r="EY29" s="426">
        <v>6890</v>
      </c>
      <c r="EZ29" s="426">
        <v>6890</v>
      </c>
      <c r="FA29" s="426">
        <v>6890</v>
      </c>
      <c r="FB29" s="426">
        <v>6890</v>
      </c>
      <c r="FC29" s="426">
        <v>6890</v>
      </c>
      <c r="FD29" s="426">
        <v>6890</v>
      </c>
      <c r="FE29" s="426">
        <v>6890</v>
      </c>
      <c r="FF29" s="426">
        <v>6890</v>
      </c>
      <c r="FG29" s="426">
        <v>6890</v>
      </c>
      <c r="FH29" s="426">
        <v>6890</v>
      </c>
      <c r="FI29" s="426">
        <v>6890</v>
      </c>
      <c r="FJ29" s="426">
        <v>6890</v>
      </c>
      <c r="FK29" s="426">
        <v>6890</v>
      </c>
      <c r="FL29" s="426">
        <v>6890</v>
      </c>
      <c r="FM29" s="426">
        <v>6890</v>
      </c>
      <c r="FN29" s="426">
        <v>6890</v>
      </c>
      <c r="FO29" s="426">
        <v>6890</v>
      </c>
      <c r="FP29" s="426">
        <v>6890</v>
      </c>
      <c r="FQ29" s="426">
        <v>6890</v>
      </c>
      <c r="FR29" s="426">
        <v>6890</v>
      </c>
      <c r="FS29" s="426">
        <v>6890</v>
      </c>
      <c r="FT29" s="426">
        <v>6890</v>
      </c>
      <c r="FU29" s="426">
        <v>6890</v>
      </c>
      <c r="FV29" s="426">
        <v>6890</v>
      </c>
      <c r="FW29" s="426">
        <v>6890</v>
      </c>
      <c r="FX29" s="426">
        <v>6890</v>
      </c>
      <c r="FY29" s="426">
        <v>6890</v>
      </c>
      <c r="FZ29" s="426">
        <v>6890</v>
      </c>
      <c r="GA29" s="426">
        <v>6890</v>
      </c>
      <c r="GB29" s="426">
        <v>6890</v>
      </c>
      <c r="GC29" s="426">
        <v>6890</v>
      </c>
      <c r="GD29" s="426">
        <v>0</v>
      </c>
      <c r="GE29" s="426">
        <v>0</v>
      </c>
      <c r="GF29" s="426">
        <v>0</v>
      </c>
      <c r="GG29" s="426">
        <v>0</v>
      </c>
      <c r="GH29" s="426">
        <v>0</v>
      </c>
      <c r="GI29" s="426">
        <v>0</v>
      </c>
      <c r="GJ29" s="426">
        <v>0</v>
      </c>
      <c r="GK29" s="426">
        <v>0</v>
      </c>
      <c r="GL29" s="426">
        <v>0</v>
      </c>
      <c r="GM29" s="426">
        <v>0</v>
      </c>
      <c r="GN29" s="426">
        <v>0</v>
      </c>
      <c r="GO29" s="426">
        <v>0</v>
      </c>
      <c r="GP29" s="426">
        <v>0</v>
      </c>
      <c r="GQ29" s="426">
        <v>0</v>
      </c>
      <c r="GR29" s="426">
        <v>0</v>
      </c>
      <c r="GS29" s="426">
        <v>0</v>
      </c>
      <c r="GT29" s="426">
        <v>0</v>
      </c>
      <c r="GU29" s="426">
        <v>0</v>
      </c>
      <c r="GV29" s="426">
        <v>0</v>
      </c>
      <c r="GW29" s="426">
        <v>0</v>
      </c>
      <c r="GX29" s="426">
        <v>0</v>
      </c>
      <c r="GY29" s="426">
        <v>0</v>
      </c>
      <c r="GZ29" s="426">
        <v>0</v>
      </c>
      <c r="HA29" s="426">
        <v>0</v>
      </c>
      <c r="HB29" s="426">
        <v>0</v>
      </c>
      <c r="HC29" s="426">
        <v>0</v>
      </c>
      <c r="HD29" s="426">
        <v>0</v>
      </c>
      <c r="HE29" s="426">
        <v>0</v>
      </c>
      <c r="HF29" s="426">
        <v>0</v>
      </c>
      <c r="HG29" s="426">
        <v>0</v>
      </c>
      <c r="HH29" s="426">
        <v>0</v>
      </c>
      <c r="HI29" s="426">
        <v>0</v>
      </c>
      <c r="HJ29" s="426">
        <v>0</v>
      </c>
      <c r="HK29" s="426">
        <v>0</v>
      </c>
      <c r="HL29" s="426">
        <v>0</v>
      </c>
      <c r="HM29" s="426">
        <v>0</v>
      </c>
      <c r="HN29" s="426">
        <v>0</v>
      </c>
      <c r="HO29" s="426">
        <v>0</v>
      </c>
      <c r="HP29" s="426">
        <v>0</v>
      </c>
      <c r="HQ29" s="426">
        <v>0</v>
      </c>
      <c r="HR29" s="426">
        <v>0</v>
      </c>
      <c r="HS29" s="426">
        <v>0</v>
      </c>
      <c r="HT29" s="426">
        <v>0</v>
      </c>
      <c r="HU29" s="426">
        <v>0</v>
      </c>
      <c r="HV29" s="426">
        <v>0</v>
      </c>
      <c r="HW29" s="426">
        <v>0</v>
      </c>
      <c r="HX29" s="426">
        <v>0</v>
      </c>
      <c r="HY29" s="426">
        <v>0</v>
      </c>
      <c r="HZ29" s="426">
        <v>0</v>
      </c>
      <c r="IA29" s="426">
        <v>0</v>
      </c>
      <c r="IB29" s="426">
        <v>0</v>
      </c>
      <c r="IC29" s="426">
        <v>0</v>
      </c>
      <c r="ID29" s="426">
        <v>0</v>
      </c>
      <c r="IE29" s="426">
        <v>0</v>
      </c>
      <c r="IF29" s="426">
        <v>0</v>
      </c>
      <c r="IG29" s="426">
        <v>0</v>
      </c>
      <c r="IH29" s="426">
        <v>0</v>
      </c>
      <c r="II29" s="426">
        <v>0</v>
      </c>
      <c r="IJ29" s="426">
        <v>0</v>
      </c>
      <c r="IK29" s="426">
        <v>0</v>
      </c>
      <c r="IL29" s="426">
        <v>0</v>
      </c>
      <c r="IM29" s="426">
        <v>0</v>
      </c>
      <c r="IN29" s="426">
        <v>0</v>
      </c>
      <c r="IO29" s="426">
        <v>0</v>
      </c>
      <c r="IP29" s="426">
        <v>0</v>
      </c>
    </row>
    <row r="30" spans="1:250" ht="15">
      <c r="A30" s="357" t="s">
        <v>645</v>
      </c>
      <c r="B30" s="427" t="s">
        <v>776</v>
      </c>
      <c r="C30" s="427"/>
      <c r="D30" s="427"/>
      <c r="E30" s="427"/>
      <c r="F30" s="427">
        <v>2</v>
      </c>
      <c r="G30" s="427"/>
      <c r="H30" s="427">
        <v>45</v>
      </c>
      <c r="I30" s="427"/>
      <c r="J30" t="str">
        <f t="shared" si="0"/>
        <v>CLX100245</v>
      </c>
      <c r="K30" s="427">
        <v>660</v>
      </c>
      <c r="R30" s="357" t="s">
        <v>645</v>
      </c>
      <c r="S30" s="428" t="s">
        <v>776</v>
      </c>
      <c r="T30" s="428">
        <v>2</v>
      </c>
      <c r="U30" s="428">
        <v>45</v>
      </c>
      <c r="V30" s="208" t="str">
        <f t="shared" si="1"/>
        <v>CLX100245</v>
      </c>
      <c r="W30" s="428">
        <v>0</v>
      </c>
      <c r="X30" s="428">
        <v>0</v>
      </c>
      <c r="Y30" s="428">
        <v>0</v>
      </c>
      <c r="Z30" s="428">
        <v>0</v>
      </c>
      <c r="AA30" s="428">
        <v>0</v>
      </c>
      <c r="AB30" s="428">
        <v>0</v>
      </c>
      <c r="AC30" s="428">
        <v>0</v>
      </c>
      <c r="AD30" s="428">
        <v>0</v>
      </c>
      <c r="AE30" s="428">
        <v>0</v>
      </c>
      <c r="AF30" s="428">
        <v>0</v>
      </c>
      <c r="AG30" s="428">
        <v>0</v>
      </c>
      <c r="AH30" s="428">
        <v>0</v>
      </c>
      <c r="AI30" s="428">
        <v>0</v>
      </c>
      <c r="AJ30" s="428">
        <v>0</v>
      </c>
      <c r="AK30" s="428">
        <v>0</v>
      </c>
      <c r="AL30" s="428">
        <v>0</v>
      </c>
      <c r="AM30" s="428">
        <v>0</v>
      </c>
      <c r="AN30" s="428">
        <v>0</v>
      </c>
      <c r="AO30" s="428">
        <v>0</v>
      </c>
      <c r="AP30" s="428">
        <v>0</v>
      </c>
      <c r="AQ30" s="428">
        <v>0</v>
      </c>
      <c r="AR30" s="428">
        <v>0</v>
      </c>
      <c r="AS30" s="428">
        <v>0</v>
      </c>
      <c r="AT30" s="428">
        <v>0</v>
      </c>
      <c r="AU30" s="428">
        <v>0</v>
      </c>
      <c r="AV30" s="428">
        <v>0</v>
      </c>
      <c r="AW30" s="428">
        <v>0</v>
      </c>
      <c r="AX30" s="428">
        <v>0</v>
      </c>
      <c r="AY30" s="428">
        <v>0</v>
      </c>
      <c r="AZ30" s="428">
        <v>0</v>
      </c>
      <c r="BA30" s="428">
        <v>0</v>
      </c>
      <c r="BB30" s="428">
        <v>0</v>
      </c>
      <c r="BC30" s="428">
        <v>0</v>
      </c>
      <c r="BD30" s="428">
        <v>0</v>
      </c>
      <c r="BE30" s="428">
        <v>0</v>
      </c>
      <c r="BF30" s="428">
        <v>0</v>
      </c>
      <c r="BG30" s="428">
        <v>0</v>
      </c>
      <c r="BH30" s="428">
        <v>0</v>
      </c>
      <c r="BI30" s="428">
        <v>0</v>
      </c>
      <c r="BJ30" s="428">
        <v>0</v>
      </c>
      <c r="BK30" s="428">
        <v>0</v>
      </c>
      <c r="BL30" s="428">
        <v>0</v>
      </c>
      <c r="BM30" s="428">
        <v>0</v>
      </c>
      <c r="BN30" s="428">
        <v>0</v>
      </c>
      <c r="BO30" s="428">
        <v>6996</v>
      </c>
      <c r="BP30" s="428">
        <v>0</v>
      </c>
      <c r="BQ30" s="428">
        <v>0</v>
      </c>
      <c r="BR30" s="428">
        <v>0</v>
      </c>
      <c r="BS30" s="428">
        <v>0</v>
      </c>
      <c r="BT30" s="428">
        <v>0</v>
      </c>
      <c r="BU30" s="428">
        <v>0</v>
      </c>
      <c r="BV30" s="428">
        <v>0</v>
      </c>
      <c r="BW30" s="428">
        <v>0</v>
      </c>
      <c r="BX30" s="428">
        <v>0</v>
      </c>
      <c r="BY30" s="428">
        <v>0</v>
      </c>
      <c r="BZ30" s="428">
        <v>0</v>
      </c>
      <c r="CA30" s="428">
        <v>0</v>
      </c>
      <c r="CB30" s="428">
        <v>0</v>
      </c>
      <c r="CC30" s="428">
        <v>0</v>
      </c>
      <c r="CD30" s="428">
        <v>0</v>
      </c>
      <c r="CE30" s="428">
        <v>0</v>
      </c>
      <c r="CF30" s="428">
        <v>0</v>
      </c>
      <c r="CG30" s="428">
        <v>0</v>
      </c>
      <c r="CH30" s="428">
        <v>0</v>
      </c>
      <c r="CI30" s="428">
        <v>0</v>
      </c>
      <c r="CJ30" s="428">
        <v>0</v>
      </c>
      <c r="CK30" s="428">
        <v>0</v>
      </c>
      <c r="CL30" s="428">
        <v>0</v>
      </c>
      <c r="CM30" s="428">
        <v>0</v>
      </c>
      <c r="CN30" s="428">
        <v>0</v>
      </c>
      <c r="CO30" s="428">
        <v>0</v>
      </c>
      <c r="CP30" s="428">
        <v>0</v>
      </c>
      <c r="CQ30" s="428">
        <v>0</v>
      </c>
      <c r="CR30" s="428">
        <v>0</v>
      </c>
      <c r="CS30" s="428">
        <v>0</v>
      </c>
      <c r="CT30" s="428">
        <v>0</v>
      </c>
      <c r="CU30" s="428">
        <v>0</v>
      </c>
      <c r="CV30" s="428">
        <v>0</v>
      </c>
      <c r="CW30" s="428">
        <v>0</v>
      </c>
      <c r="CX30" s="428">
        <v>0</v>
      </c>
      <c r="CY30" s="428">
        <v>0</v>
      </c>
      <c r="CZ30" s="428">
        <v>0</v>
      </c>
      <c r="DA30" s="428">
        <v>0</v>
      </c>
      <c r="DB30" s="428">
        <v>0</v>
      </c>
      <c r="DC30" s="428">
        <v>0</v>
      </c>
      <c r="DD30" s="428">
        <v>0</v>
      </c>
      <c r="DE30" s="428">
        <v>0</v>
      </c>
      <c r="DF30" s="428">
        <v>0</v>
      </c>
      <c r="DG30" s="428">
        <v>0</v>
      </c>
      <c r="DH30" s="428">
        <v>0</v>
      </c>
      <c r="DI30" s="428">
        <v>0</v>
      </c>
      <c r="DJ30" s="428">
        <v>0</v>
      </c>
      <c r="DK30" s="428">
        <v>0</v>
      </c>
      <c r="DL30" s="428">
        <v>0</v>
      </c>
      <c r="DM30" s="428">
        <v>0</v>
      </c>
      <c r="DN30" s="428">
        <v>0</v>
      </c>
      <c r="DO30" s="428">
        <v>0</v>
      </c>
      <c r="DP30" s="428">
        <v>0</v>
      </c>
      <c r="DQ30" s="428">
        <v>0</v>
      </c>
      <c r="DR30" s="428">
        <v>0</v>
      </c>
      <c r="DS30" s="428">
        <v>0</v>
      </c>
      <c r="DT30" s="428">
        <v>0</v>
      </c>
      <c r="DU30" s="428">
        <v>0</v>
      </c>
      <c r="DV30" s="428">
        <v>0</v>
      </c>
      <c r="ED30" s="135"/>
      <c r="EE30" s="357" t="s">
        <v>645</v>
      </c>
      <c r="EF30" s="426" t="s">
        <v>776</v>
      </c>
      <c r="EG30" s="426">
        <v>2</v>
      </c>
      <c r="EH30" s="426">
        <v>45</v>
      </c>
      <c r="EI30" s="208" t="str">
        <f t="shared" si="2"/>
        <v>CLX100245</v>
      </c>
      <c r="EJ30" s="426">
        <v>699.6</v>
      </c>
      <c r="EK30" s="426">
        <v>1399.2</v>
      </c>
      <c r="EL30" s="426">
        <v>2098.8000000000002</v>
      </c>
      <c r="EM30" s="426">
        <v>2798.4</v>
      </c>
      <c r="EN30" s="426">
        <v>3498</v>
      </c>
      <c r="EO30" s="426">
        <v>4197.6000000000004</v>
      </c>
      <c r="EP30" s="426">
        <v>4897.2</v>
      </c>
      <c r="EQ30" s="426">
        <v>5596.8</v>
      </c>
      <c r="ER30" s="426">
        <v>6296.4</v>
      </c>
      <c r="ES30" s="426">
        <v>6996</v>
      </c>
      <c r="ET30" s="426">
        <v>6996</v>
      </c>
      <c r="EU30" s="426">
        <v>6996</v>
      </c>
      <c r="EV30" s="426">
        <v>6996</v>
      </c>
      <c r="EW30" s="426">
        <v>6996</v>
      </c>
      <c r="EX30" s="426">
        <v>6996</v>
      </c>
      <c r="EY30" s="426">
        <v>6996</v>
      </c>
      <c r="EZ30" s="426">
        <v>6996</v>
      </c>
      <c r="FA30" s="426">
        <v>6996</v>
      </c>
      <c r="FB30" s="426">
        <v>6996</v>
      </c>
      <c r="FC30" s="426">
        <v>6996</v>
      </c>
      <c r="FD30" s="426">
        <v>6996</v>
      </c>
      <c r="FE30" s="426">
        <v>6996</v>
      </c>
      <c r="FF30" s="426">
        <v>6996</v>
      </c>
      <c r="FG30" s="426">
        <v>6996</v>
      </c>
      <c r="FH30" s="426">
        <v>6996</v>
      </c>
      <c r="FI30" s="426">
        <v>6996</v>
      </c>
      <c r="FJ30" s="426">
        <v>6996</v>
      </c>
      <c r="FK30" s="426">
        <v>6996</v>
      </c>
      <c r="FL30" s="426">
        <v>6996</v>
      </c>
      <c r="FM30" s="426">
        <v>6996</v>
      </c>
      <c r="FN30" s="426">
        <v>6996</v>
      </c>
      <c r="FO30" s="426">
        <v>6996</v>
      </c>
      <c r="FP30" s="426">
        <v>6996</v>
      </c>
      <c r="FQ30" s="426">
        <v>6996</v>
      </c>
      <c r="FR30" s="426">
        <v>6996</v>
      </c>
      <c r="FS30" s="426">
        <v>6996</v>
      </c>
      <c r="FT30" s="426">
        <v>6996</v>
      </c>
      <c r="FU30" s="426">
        <v>6996</v>
      </c>
      <c r="FV30" s="426">
        <v>6996</v>
      </c>
      <c r="FW30" s="426">
        <v>6996</v>
      </c>
      <c r="FX30" s="426">
        <v>6996</v>
      </c>
      <c r="FY30" s="426">
        <v>6996</v>
      </c>
      <c r="FZ30" s="426">
        <v>6996</v>
      </c>
      <c r="GA30" s="426">
        <v>6996</v>
      </c>
      <c r="GB30" s="426">
        <v>6996</v>
      </c>
      <c r="GC30" s="426">
        <v>0</v>
      </c>
      <c r="GD30" s="426">
        <v>0</v>
      </c>
      <c r="GE30" s="426">
        <v>0</v>
      </c>
      <c r="GF30" s="426">
        <v>0</v>
      </c>
      <c r="GG30" s="426">
        <v>0</v>
      </c>
      <c r="GH30" s="426">
        <v>0</v>
      </c>
      <c r="GI30" s="426">
        <v>0</v>
      </c>
      <c r="GJ30" s="426">
        <v>0</v>
      </c>
      <c r="GK30" s="426">
        <v>0</v>
      </c>
      <c r="GL30" s="426">
        <v>0</v>
      </c>
      <c r="GM30" s="426">
        <v>0</v>
      </c>
      <c r="GN30" s="426">
        <v>0</v>
      </c>
      <c r="GO30" s="426">
        <v>0</v>
      </c>
      <c r="GP30" s="426">
        <v>0</v>
      </c>
      <c r="GQ30" s="426">
        <v>0</v>
      </c>
      <c r="GR30" s="426">
        <v>0</v>
      </c>
      <c r="GS30" s="426">
        <v>0</v>
      </c>
      <c r="GT30" s="426">
        <v>0</v>
      </c>
      <c r="GU30" s="426">
        <v>0</v>
      </c>
      <c r="GV30" s="426">
        <v>0</v>
      </c>
      <c r="GW30" s="426">
        <v>0</v>
      </c>
      <c r="GX30" s="426">
        <v>0</v>
      </c>
      <c r="GY30" s="426">
        <v>0</v>
      </c>
      <c r="GZ30" s="426">
        <v>0</v>
      </c>
      <c r="HA30" s="426">
        <v>0</v>
      </c>
      <c r="HB30" s="426">
        <v>0</v>
      </c>
      <c r="HC30" s="426">
        <v>0</v>
      </c>
      <c r="HD30" s="426">
        <v>0</v>
      </c>
      <c r="HE30" s="426">
        <v>0</v>
      </c>
      <c r="HF30" s="426">
        <v>0</v>
      </c>
      <c r="HG30" s="426">
        <v>0</v>
      </c>
      <c r="HH30" s="426">
        <v>0</v>
      </c>
      <c r="HI30" s="426">
        <v>0</v>
      </c>
      <c r="HJ30" s="426">
        <v>0</v>
      </c>
      <c r="HK30" s="426">
        <v>0</v>
      </c>
      <c r="HL30" s="426">
        <v>0</v>
      </c>
      <c r="HM30" s="426">
        <v>0</v>
      </c>
      <c r="HN30" s="426">
        <v>0</v>
      </c>
      <c r="HO30" s="426">
        <v>0</v>
      </c>
      <c r="HP30" s="426">
        <v>0</v>
      </c>
      <c r="HQ30" s="426">
        <v>0</v>
      </c>
      <c r="HR30" s="426">
        <v>0</v>
      </c>
      <c r="HS30" s="426">
        <v>0</v>
      </c>
      <c r="HT30" s="426">
        <v>0</v>
      </c>
      <c r="HU30" s="426">
        <v>0</v>
      </c>
      <c r="HV30" s="426">
        <v>0</v>
      </c>
      <c r="HW30" s="426">
        <v>0</v>
      </c>
      <c r="HX30" s="426">
        <v>0</v>
      </c>
      <c r="HY30" s="426">
        <v>0</v>
      </c>
      <c r="HZ30" s="426">
        <v>0</v>
      </c>
      <c r="IA30" s="426">
        <v>0</v>
      </c>
      <c r="IB30" s="426">
        <v>0</v>
      </c>
      <c r="IC30" s="426">
        <v>0</v>
      </c>
      <c r="ID30" s="426">
        <v>0</v>
      </c>
      <c r="IE30" s="426">
        <v>0</v>
      </c>
      <c r="IF30" s="426">
        <v>0</v>
      </c>
      <c r="IG30" s="426">
        <v>0</v>
      </c>
      <c r="IH30" s="426">
        <v>0</v>
      </c>
      <c r="II30" s="426">
        <v>0</v>
      </c>
      <c r="IJ30" s="426">
        <v>0</v>
      </c>
      <c r="IK30" s="426">
        <v>0</v>
      </c>
      <c r="IL30" s="426">
        <v>0</v>
      </c>
      <c r="IM30" s="426">
        <v>0</v>
      </c>
      <c r="IN30" s="426">
        <v>0</v>
      </c>
      <c r="IO30" s="426">
        <v>0</v>
      </c>
      <c r="IP30" s="426">
        <v>0</v>
      </c>
    </row>
    <row r="31" spans="1:250" ht="15">
      <c r="A31" s="357" t="s">
        <v>645</v>
      </c>
      <c r="B31" s="427" t="s">
        <v>776</v>
      </c>
      <c r="C31" s="427"/>
      <c r="D31" s="427"/>
      <c r="E31" s="427"/>
      <c r="F31" s="427">
        <v>2</v>
      </c>
      <c r="G31" s="427"/>
      <c r="H31" s="427">
        <v>46</v>
      </c>
      <c r="I31" s="427"/>
      <c r="J31" t="str">
        <f t="shared" si="0"/>
        <v>CLX100246</v>
      </c>
      <c r="K31" s="427">
        <v>670</v>
      </c>
      <c r="R31" s="357" t="s">
        <v>645</v>
      </c>
      <c r="S31" s="428" t="s">
        <v>776</v>
      </c>
      <c r="T31" s="428">
        <v>2</v>
      </c>
      <c r="U31" s="428">
        <v>46</v>
      </c>
      <c r="V31" s="208" t="str">
        <f t="shared" si="1"/>
        <v>CLX100246</v>
      </c>
      <c r="W31" s="428">
        <v>0</v>
      </c>
      <c r="X31" s="428">
        <v>0</v>
      </c>
      <c r="Y31" s="428">
        <v>0</v>
      </c>
      <c r="Z31" s="428">
        <v>0</v>
      </c>
      <c r="AA31" s="428">
        <v>0</v>
      </c>
      <c r="AB31" s="428">
        <v>0</v>
      </c>
      <c r="AC31" s="428">
        <v>0</v>
      </c>
      <c r="AD31" s="428">
        <v>0</v>
      </c>
      <c r="AE31" s="428">
        <v>0</v>
      </c>
      <c r="AF31" s="428">
        <v>0</v>
      </c>
      <c r="AG31" s="428">
        <v>0</v>
      </c>
      <c r="AH31" s="428">
        <v>0</v>
      </c>
      <c r="AI31" s="428">
        <v>0</v>
      </c>
      <c r="AJ31" s="428">
        <v>0</v>
      </c>
      <c r="AK31" s="428">
        <v>0</v>
      </c>
      <c r="AL31" s="428">
        <v>0</v>
      </c>
      <c r="AM31" s="428">
        <v>0</v>
      </c>
      <c r="AN31" s="428">
        <v>0</v>
      </c>
      <c r="AO31" s="428">
        <v>0</v>
      </c>
      <c r="AP31" s="428">
        <v>0</v>
      </c>
      <c r="AQ31" s="428">
        <v>0</v>
      </c>
      <c r="AR31" s="428">
        <v>0</v>
      </c>
      <c r="AS31" s="428">
        <v>0</v>
      </c>
      <c r="AT31" s="428">
        <v>0</v>
      </c>
      <c r="AU31" s="428">
        <v>0</v>
      </c>
      <c r="AV31" s="428">
        <v>0</v>
      </c>
      <c r="AW31" s="428">
        <v>0</v>
      </c>
      <c r="AX31" s="428">
        <v>0</v>
      </c>
      <c r="AY31" s="428">
        <v>0</v>
      </c>
      <c r="AZ31" s="428">
        <v>0</v>
      </c>
      <c r="BA31" s="428">
        <v>0</v>
      </c>
      <c r="BB31" s="428">
        <v>0</v>
      </c>
      <c r="BC31" s="428">
        <v>0</v>
      </c>
      <c r="BD31" s="428">
        <v>0</v>
      </c>
      <c r="BE31" s="428">
        <v>0</v>
      </c>
      <c r="BF31" s="428">
        <v>0</v>
      </c>
      <c r="BG31" s="428">
        <v>0</v>
      </c>
      <c r="BH31" s="428">
        <v>0</v>
      </c>
      <c r="BI31" s="428">
        <v>0</v>
      </c>
      <c r="BJ31" s="428">
        <v>0</v>
      </c>
      <c r="BK31" s="428">
        <v>0</v>
      </c>
      <c r="BL31" s="428">
        <v>0</v>
      </c>
      <c r="BM31" s="428">
        <v>0</v>
      </c>
      <c r="BN31" s="428">
        <v>7102</v>
      </c>
      <c r="BO31" s="428">
        <v>0</v>
      </c>
      <c r="BP31" s="428">
        <v>0</v>
      </c>
      <c r="BQ31" s="428">
        <v>0</v>
      </c>
      <c r="BR31" s="428">
        <v>0</v>
      </c>
      <c r="BS31" s="428">
        <v>0</v>
      </c>
      <c r="BT31" s="428">
        <v>0</v>
      </c>
      <c r="BU31" s="428">
        <v>0</v>
      </c>
      <c r="BV31" s="428">
        <v>0</v>
      </c>
      <c r="BW31" s="428">
        <v>0</v>
      </c>
      <c r="BX31" s="428">
        <v>0</v>
      </c>
      <c r="BY31" s="428">
        <v>0</v>
      </c>
      <c r="BZ31" s="428">
        <v>0</v>
      </c>
      <c r="CA31" s="428">
        <v>0</v>
      </c>
      <c r="CB31" s="428">
        <v>0</v>
      </c>
      <c r="CC31" s="428">
        <v>0</v>
      </c>
      <c r="CD31" s="428">
        <v>0</v>
      </c>
      <c r="CE31" s="428">
        <v>0</v>
      </c>
      <c r="CF31" s="428">
        <v>0</v>
      </c>
      <c r="CG31" s="428">
        <v>0</v>
      </c>
      <c r="CH31" s="428">
        <v>0</v>
      </c>
      <c r="CI31" s="428">
        <v>0</v>
      </c>
      <c r="CJ31" s="428">
        <v>0</v>
      </c>
      <c r="CK31" s="428">
        <v>0</v>
      </c>
      <c r="CL31" s="428">
        <v>0</v>
      </c>
      <c r="CM31" s="428">
        <v>0</v>
      </c>
      <c r="CN31" s="428">
        <v>0</v>
      </c>
      <c r="CO31" s="428">
        <v>0</v>
      </c>
      <c r="CP31" s="428">
        <v>0</v>
      </c>
      <c r="CQ31" s="428">
        <v>0</v>
      </c>
      <c r="CR31" s="428">
        <v>0</v>
      </c>
      <c r="CS31" s="428">
        <v>0</v>
      </c>
      <c r="CT31" s="428">
        <v>0</v>
      </c>
      <c r="CU31" s="428">
        <v>0</v>
      </c>
      <c r="CV31" s="428">
        <v>0</v>
      </c>
      <c r="CW31" s="428">
        <v>0</v>
      </c>
      <c r="CX31" s="428">
        <v>0</v>
      </c>
      <c r="CY31" s="428">
        <v>0</v>
      </c>
      <c r="CZ31" s="428">
        <v>0</v>
      </c>
      <c r="DA31" s="428">
        <v>0</v>
      </c>
      <c r="DB31" s="428">
        <v>0</v>
      </c>
      <c r="DC31" s="428">
        <v>0</v>
      </c>
      <c r="DD31" s="428">
        <v>0</v>
      </c>
      <c r="DE31" s="428">
        <v>0</v>
      </c>
      <c r="DF31" s="428">
        <v>0</v>
      </c>
      <c r="DG31" s="428">
        <v>0</v>
      </c>
      <c r="DH31" s="428">
        <v>0</v>
      </c>
      <c r="DI31" s="428">
        <v>0</v>
      </c>
      <c r="DJ31" s="428">
        <v>0</v>
      </c>
      <c r="DK31" s="428">
        <v>0</v>
      </c>
      <c r="DL31" s="428">
        <v>0</v>
      </c>
      <c r="DM31" s="428">
        <v>0</v>
      </c>
      <c r="DN31" s="428">
        <v>0</v>
      </c>
      <c r="DO31" s="428">
        <v>0</v>
      </c>
      <c r="DP31" s="428">
        <v>0</v>
      </c>
      <c r="DQ31" s="428">
        <v>0</v>
      </c>
      <c r="DR31" s="428">
        <v>0</v>
      </c>
      <c r="DS31" s="428">
        <v>0</v>
      </c>
      <c r="DT31" s="428">
        <v>0</v>
      </c>
      <c r="DU31" s="428">
        <v>0</v>
      </c>
      <c r="DV31" s="428">
        <v>0</v>
      </c>
      <c r="ED31" s="135"/>
      <c r="EE31" s="357" t="s">
        <v>645</v>
      </c>
      <c r="EF31" s="426" t="s">
        <v>776</v>
      </c>
      <c r="EG31" s="426">
        <v>2</v>
      </c>
      <c r="EH31" s="426">
        <v>46</v>
      </c>
      <c r="EI31" s="208" t="str">
        <f t="shared" si="2"/>
        <v>CLX100246</v>
      </c>
      <c r="EJ31" s="426">
        <v>710.2</v>
      </c>
      <c r="EK31" s="426">
        <v>1420.4</v>
      </c>
      <c r="EL31" s="426">
        <v>2130.6</v>
      </c>
      <c r="EM31" s="426">
        <v>2840.8</v>
      </c>
      <c r="EN31" s="426">
        <v>3551</v>
      </c>
      <c r="EO31" s="426">
        <v>4261.2</v>
      </c>
      <c r="EP31" s="426">
        <v>4971.3999999999996</v>
      </c>
      <c r="EQ31" s="426">
        <v>5681.6</v>
      </c>
      <c r="ER31" s="426">
        <v>6391.8</v>
      </c>
      <c r="ES31" s="426">
        <v>7102</v>
      </c>
      <c r="ET31" s="426">
        <v>7102</v>
      </c>
      <c r="EU31" s="426">
        <v>7102</v>
      </c>
      <c r="EV31" s="426">
        <v>7102</v>
      </c>
      <c r="EW31" s="426">
        <v>7102</v>
      </c>
      <c r="EX31" s="426">
        <v>7102</v>
      </c>
      <c r="EY31" s="426">
        <v>7102</v>
      </c>
      <c r="EZ31" s="426">
        <v>7102</v>
      </c>
      <c r="FA31" s="426">
        <v>7102</v>
      </c>
      <c r="FB31" s="426">
        <v>7102</v>
      </c>
      <c r="FC31" s="426">
        <v>7102</v>
      </c>
      <c r="FD31" s="426">
        <v>7102</v>
      </c>
      <c r="FE31" s="426">
        <v>7102</v>
      </c>
      <c r="FF31" s="426">
        <v>7102</v>
      </c>
      <c r="FG31" s="426">
        <v>7102</v>
      </c>
      <c r="FH31" s="426">
        <v>7102</v>
      </c>
      <c r="FI31" s="426">
        <v>7102</v>
      </c>
      <c r="FJ31" s="426">
        <v>7102</v>
      </c>
      <c r="FK31" s="426">
        <v>7102</v>
      </c>
      <c r="FL31" s="426">
        <v>7102</v>
      </c>
      <c r="FM31" s="426">
        <v>7102</v>
      </c>
      <c r="FN31" s="426">
        <v>7102</v>
      </c>
      <c r="FO31" s="426">
        <v>7102</v>
      </c>
      <c r="FP31" s="426">
        <v>7102</v>
      </c>
      <c r="FQ31" s="426">
        <v>7102</v>
      </c>
      <c r="FR31" s="426">
        <v>7102</v>
      </c>
      <c r="FS31" s="426">
        <v>7102</v>
      </c>
      <c r="FT31" s="426">
        <v>7102</v>
      </c>
      <c r="FU31" s="426">
        <v>7102</v>
      </c>
      <c r="FV31" s="426">
        <v>7102</v>
      </c>
      <c r="FW31" s="426">
        <v>7102</v>
      </c>
      <c r="FX31" s="426">
        <v>7102</v>
      </c>
      <c r="FY31" s="426">
        <v>7102</v>
      </c>
      <c r="FZ31" s="426">
        <v>7102</v>
      </c>
      <c r="GA31" s="426">
        <v>7102</v>
      </c>
      <c r="GB31" s="426">
        <v>0</v>
      </c>
      <c r="GC31" s="426">
        <v>0</v>
      </c>
      <c r="GD31" s="426">
        <v>0</v>
      </c>
      <c r="GE31" s="426">
        <v>0</v>
      </c>
      <c r="GF31" s="426">
        <v>0</v>
      </c>
      <c r="GG31" s="426">
        <v>0</v>
      </c>
      <c r="GH31" s="426">
        <v>0</v>
      </c>
      <c r="GI31" s="426">
        <v>0</v>
      </c>
      <c r="GJ31" s="426">
        <v>0</v>
      </c>
      <c r="GK31" s="426">
        <v>0</v>
      </c>
      <c r="GL31" s="426">
        <v>0</v>
      </c>
      <c r="GM31" s="426">
        <v>0</v>
      </c>
      <c r="GN31" s="426">
        <v>0</v>
      </c>
      <c r="GO31" s="426">
        <v>0</v>
      </c>
      <c r="GP31" s="426">
        <v>0</v>
      </c>
      <c r="GQ31" s="426">
        <v>0</v>
      </c>
      <c r="GR31" s="426">
        <v>0</v>
      </c>
      <c r="GS31" s="426">
        <v>0</v>
      </c>
      <c r="GT31" s="426">
        <v>0</v>
      </c>
      <c r="GU31" s="426">
        <v>0</v>
      </c>
      <c r="GV31" s="426">
        <v>0</v>
      </c>
      <c r="GW31" s="426">
        <v>0</v>
      </c>
      <c r="GX31" s="426">
        <v>0</v>
      </c>
      <c r="GY31" s="426">
        <v>0</v>
      </c>
      <c r="GZ31" s="426">
        <v>0</v>
      </c>
      <c r="HA31" s="426">
        <v>0</v>
      </c>
      <c r="HB31" s="426">
        <v>0</v>
      </c>
      <c r="HC31" s="426">
        <v>0</v>
      </c>
      <c r="HD31" s="426">
        <v>0</v>
      </c>
      <c r="HE31" s="426">
        <v>0</v>
      </c>
      <c r="HF31" s="426">
        <v>0</v>
      </c>
      <c r="HG31" s="426">
        <v>0</v>
      </c>
      <c r="HH31" s="426">
        <v>0</v>
      </c>
      <c r="HI31" s="426">
        <v>0</v>
      </c>
      <c r="HJ31" s="426">
        <v>0</v>
      </c>
      <c r="HK31" s="426">
        <v>0</v>
      </c>
      <c r="HL31" s="426">
        <v>0</v>
      </c>
      <c r="HM31" s="426">
        <v>0</v>
      </c>
      <c r="HN31" s="426">
        <v>0</v>
      </c>
      <c r="HO31" s="426">
        <v>0</v>
      </c>
      <c r="HP31" s="426">
        <v>0</v>
      </c>
      <c r="HQ31" s="426">
        <v>0</v>
      </c>
      <c r="HR31" s="426">
        <v>0</v>
      </c>
      <c r="HS31" s="426">
        <v>0</v>
      </c>
      <c r="HT31" s="426">
        <v>0</v>
      </c>
      <c r="HU31" s="426">
        <v>0</v>
      </c>
      <c r="HV31" s="426">
        <v>0</v>
      </c>
      <c r="HW31" s="426">
        <v>0</v>
      </c>
      <c r="HX31" s="426">
        <v>0</v>
      </c>
      <c r="HY31" s="426">
        <v>0</v>
      </c>
      <c r="HZ31" s="426">
        <v>0</v>
      </c>
      <c r="IA31" s="426">
        <v>0</v>
      </c>
      <c r="IB31" s="426">
        <v>0</v>
      </c>
      <c r="IC31" s="426">
        <v>0</v>
      </c>
      <c r="ID31" s="426">
        <v>0</v>
      </c>
      <c r="IE31" s="426">
        <v>0</v>
      </c>
      <c r="IF31" s="426">
        <v>0</v>
      </c>
      <c r="IG31" s="426">
        <v>0</v>
      </c>
      <c r="IH31" s="426">
        <v>0</v>
      </c>
      <c r="II31" s="426">
        <v>0</v>
      </c>
      <c r="IJ31" s="426">
        <v>0</v>
      </c>
      <c r="IK31" s="426">
        <v>0</v>
      </c>
      <c r="IL31" s="426">
        <v>0</v>
      </c>
      <c r="IM31" s="426">
        <v>0</v>
      </c>
      <c r="IN31" s="426">
        <v>0</v>
      </c>
      <c r="IO31" s="426">
        <v>0</v>
      </c>
      <c r="IP31" s="426">
        <v>0</v>
      </c>
    </row>
    <row r="32" spans="1:250" ht="15">
      <c r="A32" s="357" t="s">
        <v>645</v>
      </c>
      <c r="B32" s="427" t="s">
        <v>776</v>
      </c>
      <c r="C32" s="427"/>
      <c r="D32" s="427"/>
      <c r="E32" s="427"/>
      <c r="F32" s="427">
        <v>2</v>
      </c>
      <c r="G32" s="427"/>
      <c r="H32" s="427">
        <v>47</v>
      </c>
      <c r="I32" s="427"/>
      <c r="J32" t="str">
        <f t="shared" si="0"/>
        <v>CLX100247</v>
      </c>
      <c r="K32" s="427">
        <v>680</v>
      </c>
      <c r="R32" s="357" t="s">
        <v>645</v>
      </c>
      <c r="S32" s="428" t="s">
        <v>776</v>
      </c>
      <c r="T32" s="428">
        <v>2</v>
      </c>
      <c r="U32" s="428">
        <v>47</v>
      </c>
      <c r="V32" s="208" t="str">
        <f t="shared" si="1"/>
        <v>CLX100247</v>
      </c>
      <c r="W32" s="428">
        <v>0</v>
      </c>
      <c r="X32" s="428">
        <v>0</v>
      </c>
      <c r="Y32" s="428">
        <v>0</v>
      </c>
      <c r="Z32" s="428">
        <v>0</v>
      </c>
      <c r="AA32" s="428">
        <v>0</v>
      </c>
      <c r="AB32" s="428">
        <v>0</v>
      </c>
      <c r="AC32" s="428">
        <v>0</v>
      </c>
      <c r="AD32" s="428">
        <v>0</v>
      </c>
      <c r="AE32" s="428">
        <v>0</v>
      </c>
      <c r="AF32" s="428">
        <v>0</v>
      </c>
      <c r="AG32" s="428">
        <v>0</v>
      </c>
      <c r="AH32" s="428">
        <v>0</v>
      </c>
      <c r="AI32" s="428">
        <v>0</v>
      </c>
      <c r="AJ32" s="428">
        <v>0</v>
      </c>
      <c r="AK32" s="428">
        <v>0</v>
      </c>
      <c r="AL32" s="428">
        <v>0</v>
      </c>
      <c r="AM32" s="428">
        <v>0</v>
      </c>
      <c r="AN32" s="428">
        <v>0</v>
      </c>
      <c r="AO32" s="428">
        <v>0</v>
      </c>
      <c r="AP32" s="428">
        <v>0</v>
      </c>
      <c r="AQ32" s="428">
        <v>0</v>
      </c>
      <c r="AR32" s="428">
        <v>0</v>
      </c>
      <c r="AS32" s="428">
        <v>0</v>
      </c>
      <c r="AT32" s="428">
        <v>0</v>
      </c>
      <c r="AU32" s="428">
        <v>0</v>
      </c>
      <c r="AV32" s="428">
        <v>0</v>
      </c>
      <c r="AW32" s="428">
        <v>0</v>
      </c>
      <c r="AX32" s="428">
        <v>0</v>
      </c>
      <c r="AY32" s="428">
        <v>0</v>
      </c>
      <c r="AZ32" s="428">
        <v>0</v>
      </c>
      <c r="BA32" s="428">
        <v>0</v>
      </c>
      <c r="BB32" s="428">
        <v>0</v>
      </c>
      <c r="BC32" s="428">
        <v>0</v>
      </c>
      <c r="BD32" s="428">
        <v>0</v>
      </c>
      <c r="BE32" s="428">
        <v>0</v>
      </c>
      <c r="BF32" s="428">
        <v>0</v>
      </c>
      <c r="BG32" s="428">
        <v>0</v>
      </c>
      <c r="BH32" s="428">
        <v>0</v>
      </c>
      <c r="BI32" s="428">
        <v>0</v>
      </c>
      <c r="BJ32" s="428">
        <v>0</v>
      </c>
      <c r="BK32" s="428">
        <v>0</v>
      </c>
      <c r="BL32" s="428">
        <v>0</v>
      </c>
      <c r="BM32" s="428">
        <v>7208.0000000000009</v>
      </c>
      <c r="BN32" s="428">
        <v>0</v>
      </c>
      <c r="BO32" s="428">
        <v>0</v>
      </c>
      <c r="BP32" s="428">
        <v>0</v>
      </c>
      <c r="BQ32" s="428">
        <v>0</v>
      </c>
      <c r="BR32" s="428">
        <v>0</v>
      </c>
      <c r="BS32" s="428">
        <v>0</v>
      </c>
      <c r="BT32" s="428">
        <v>0</v>
      </c>
      <c r="BU32" s="428">
        <v>0</v>
      </c>
      <c r="BV32" s="428">
        <v>0</v>
      </c>
      <c r="BW32" s="428">
        <v>0</v>
      </c>
      <c r="BX32" s="428">
        <v>0</v>
      </c>
      <c r="BY32" s="428">
        <v>0</v>
      </c>
      <c r="BZ32" s="428">
        <v>0</v>
      </c>
      <c r="CA32" s="428">
        <v>0</v>
      </c>
      <c r="CB32" s="428">
        <v>0</v>
      </c>
      <c r="CC32" s="428">
        <v>0</v>
      </c>
      <c r="CD32" s="428">
        <v>0</v>
      </c>
      <c r="CE32" s="428">
        <v>0</v>
      </c>
      <c r="CF32" s="428">
        <v>0</v>
      </c>
      <c r="CG32" s="428">
        <v>0</v>
      </c>
      <c r="CH32" s="428">
        <v>0</v>
      </c>
      <c r="CI32" s="428">
        <v>0</v>
      </c>
      <c r="CJ32" s="428">
        <v>0</v>
      </c>
      <c r="CK32" s="428">
        <v>0</v>
      </c>
      <c r="CL32" s="428">
        <v>0</v>
      </c>
      <c r="CM32" s="428">
        <v>0</v>
      </c>
      <c r="CN32" s="428">
        <v>0</v>
      </c>
      <c r="CO32" s="428">
        <v>0</v>
      </c>
      <c r="CP32" s="428">
        <v>0</v>
      </c>
      <c r="CQ32" s="428">
        <v>0</v>
      </c>
      <c r="CR32" s="428">
        <v>0</v>
      </c>
      <c r="CS32" s="428">
        <v>0</v>
      </c>
      <c r="CT32" s="428">
        <v>0</v>
      </c>
      <c r="CU32" s="428">
        <v>0</v>
      </c>
      <c r="CV32" s="428">
        <v>0</v>
      </c>
      <c r="CW32" s="428">
        <v>0</v>
      </c>
      <c r="CX32" s="428">
        <v>0</v>
      </c>
      <c r="CY32" s="428">
        <v>0</v>
      </c>
      <c r="CZ32" s="428">
        <v>0</v>
      </c>
      <c r="DA32" s="428">
        <v>0</v>
      </c>
      <c r="DB32" s="428">
        <v>0</v>
      </c>
      <c r="DC32" s="428">
        <v>0</v>
      </c>
      <c r="DD32" s="428">
        <v>0</v>
      </c>
      <c r="DE32" s="428">
        <v>0</v>
      </c>
      <c r="DF32" s="428">
        <v>0</v>
      </c>
      <c r="DG32" s="428">
        <v>0</v>
      </c>
      <c r="DH32" s="428">
        <v>0</v>
      </c>
      <c r="DI32" s="428">
        <v>0</v>
      </c>
      <c r="DJ32" s="428">
        <v>0</v>
      </c>
      <c r="DK32" s="428">
        <v>0</v>
      </c>
      <c r="DL32" s="428">
        <v>0</v>
      </c>
      <c r="DM32" s="428">
        <v>0</v>
      </c>
      <c r="DN32" s="428">
        <v>0</v>
      </c>
      <c r="DO32" s="428">
        <v>0</v>
      </c>
      <c r="DP32" s="428">
        <v>0</v>
      </c>
      <c r="DQ32" s="428">
        <v>0</v>
      </c>
      <c r="DR32" s="428">
        <v>0</v>
      </c>
      <c r="DS32" s="428">
        <v>0</v>
      </c>
      <c r="DT32" s="428">
        <v>0</v>
      </c>
      <c r="DU32" s="428">
        <v>0</v>
      </c>
      <c r="DV32" s="428">
        <v>0</v>
      </c>
      <c r="ED32" s="135"/>
      <c r="EE32" s="357" t="s">
        <v>645</v>
      </c>
      <c r="EF32" s="426" t="s">
        <v>776</v>
      </c>
      <c r="EG32" s="426">
        <v>2</v>
      </c>
      <c r="EH32" s="426">
        <v>47</v>
      </c>
      <c r="EI32" s="208" t="str">
        <f t="shared" si="2"/>
        <v>CLX100247</v>
      </c>
      <c r="EJ32" s="426">
        <v>720.8</v>
      </c>
      <c r="EK32" s="426">
        <v>1441.6</v>
      </c>
      <c r="EL32" s="426">
        <v>2162.4</v>
      </c>
      <c r="EM32" s="426">
        <v>2883.2</v>
      </c>
      <c r="EN32" s="426">
        <v>3604</v>
      </c>
      <c r="EO32" s="426">
        <v>4324.8</v>
      </c>
      <c r="EP32" s="426">
        <v>5045.6000000000004</v>
      </c>
      <c r="EQ32" s="426">
        <v>5766.4</v>
      </c>
      <c r="ER32" s="426">
        <v>6487.2</v>
      </c>
      <c r="ES32" s="426">
        <v>7208</v>
      </c>
      <c r="ET32" s="426">
        <v>7208</v>
      </c>
      <c r="EU32" s="426">
        <v>7208</v>
      </c>
      <c r="EV32" s="426">
        <v>7208</v>
      </c>
      <c r="EW32" s="426">
        <v>7208</v>
      </c>
      <c r="EX32" s="426">
        <v>7208</v>
      </c>
      <c r="EY32" s="426">
        <v>7208</v>
      </c>
      <c r="EZ32" s="426">
        <v>7208</v>
      </c>
      <c r="FA32" s="426">
        <v>7208</v>
      </c>
      <c r="FB32" s="426">
        <v>7208</v>
      </c>
      <c r="FC32" s="426">
        <v>7208</v>
      </c>
      <c r="FD32" s="426">
        <v>7208</v>
      </c>
      <c r="FE32" s="426">
        <v>7208</v>
      </c>
      <c r="FF32" s="426">
        <v>7208</v>
      </c>
      <c r="FG32" s="426">
        <v>7208</v>
      </c>
      <c r="FH32" s="426">
        <v>7208</v>
      </c>
      <c r="FI32" s="426">
        <v>7208</v>
      </c>
      <c r="FJ32" s="426">
        <v>7208</v>
      </c>
      <c r="FK32" s="426">
        <v>7208</v>
      </c>
      <c r="FL32" s="426">
        <v>7208</v>
      </c>
      <c r="FM32" s="426">
        <v>7208</v>
      </c>
      <c r="FN32" s="426">
        <v>7208</v>
      </c>
      <c r="FO32" s="426">
        <v>7208</v>
      </c>
      <c r="FP32" s="426">
        <v>7208</v>
      </c>
      <c r="FQ32" s="426">
        <v>7208</v>
      </c>
      <c r="FR32" s="426">
        <v>7208</v>
      </c>
      <c r="FS32" s="426">
        <v>7208</v>
      </c>
      <c r="FT32" s="426">
        <v>7208</v>
      </c>
      <c r="FU32" s="426">
        <v>7208</v>
      </c>
      <c r="FV32" s="426">
        <v>7208</v>
      </c>
      <c r="FW32" s="426">
        <v>7208</v>
      </c>
      <c r="FX32" s="426">
        <v>7208</v>
      </c>
      <c r="FY32" s="426">
        <v>7208</v>
      </c>
      <c r="FZ32" s="426">
        <v>7208</v>
      </c>
      <c r="GA32" s="426">
        <v>0</v>
      </c>
      <c r="GB32" s="426">
        <v>0</v>
      </c>
      <c r="GC32" s="426">
        <v>0</v>
      </c>
      <c r="GD32" s="426">
        <v>0</v>
      </c>
      <c r="GE32" s="426">
        <v>0</v>
      </c>
      <c r="GF32" s="426">
        <v>0</v>
      </c>
      <c r="GG32" s="426">
        <v>0</v>
      </c>
      <c r="GH32" s="426">
        <v>0</v>
      </c>
      <c r="GI32" s="426">
        <v>0</v>
      </c>
      <c r="GJ32" s="426">
        <v>0</v>
      </c>
      <c r="GK32" s="426">
        <v>0</v>
      </c>
      <c r="GL32" s="426">
        <v>0</v>
      </c>
      <c r="GM32" s="426">
        <v>0</v>
      </c>
      <c r="GN32" s="426">
        <v>0</v>
      </c>
      <c r="GO32" s="426">
        <v>0</v>
      </c>
      <c r="GP32" s="426">
        <v>0</v>
      </c>
      <c r="GQ32" s="426">
        <v>0</v>
      </c>
      <c r="GR32" s="426">
        <v>0</v>
      </c>
      <c r="GS32" s="426">
        <v>0</v>
      </c>
      <c r="GT32" s="426">
        <v>0</v>
      </c>
      <c r="GU32" s="426">
        <v>0</v>
      </c>
      <c r="GV32" s="426">
        <v>0</v>
      </c>
      <c r="GW32" s="426">
        <v>0</v>
      </c>
      <c r="GX32" s="426">
        <v>0</v>
      </c>
      <c r="GY32" s="426">
        <v>0</v>
      </c>
      <c r="GZ32" s="426">
        <v>0</v>
      </c>
      <c r="HA32" s="426">
        <v>0</v>
      </c>
      <c r="HB32" s="426">
        <v>0</v>
      </c>
      <c r="HC32" s="426">
        <v>0</v>
      </c>
      <c r="HD32" s="426">
        <v>0</v>
      </c>
      <c r="HE32" s="426">
        <v>0</v>
      </c>
      <c r="HF32" s="426">
        <v>0</v>
      </c>
      <c r="HG32" s="426">
        <v>0</v>
      </c>
      <c r="HH32" s="426">
        <v>0</v>
      </c>
      <c r="HI32" s="426">
        <v>0</v>
      </c>
      <c r="HJ32" s="426">
        <v>0</v>
      </c>
      <c r="HK32" s="426">
        <v>0</v>
      </c>
      <c r="HL32" s="426">
        <v>0</v>
      </c>
      <c r="HM32" s="426">
        <v>0</v>
      </c>
      <c r="HN32" s="426">
        <v>0</v>
      </c>
      <c r="HO32" s="426">
        <v>0</v>
      </c>
      <c r="HP32" s="426">
        <v>0</v>
      </c>
      <c r="HQ32" s="426">
        <v>0</v>
      </c>
      <c r="HR32" s="426">
        <v>0</v>
      </c>
      <c r="HS32" s="426">
        <v>0</v>
      </c>
      <c r="HT32" s="426">
        <v>0</v>
      </c>
      <c r="HU32" s="426">
        <v>0</v>
      </c>
      <c r="HV32" s="426">
        <v>0</v>
      </c>
      <c r="HW32" s="426">
        <v>0</v>
      </c>
      <c r="HX32" s="426">
        <v>0</v>
      </c>
      <c r="HY32" s="426">
        <v>0</v>
      </c>
      <c r="HZ32" s="426">
        <v>0</v>
      </c>
      <c r="IA32" s="426">
        <v>0</v>
      </c>
      <c r="IB32" s="426">
        <v>0</v>
      </c>
      <c r="IC32" s="426">
        <v>0</v>
      </c>
      <c r="ID32" s="426">
        <v>0</v>
      </c>
      <c r="IE32" s="426">
        <v>0</v>
      </c>
      <c r="IF32" s="426">
        <v>0</v>
      </c>
      <c r="IG32" s="426">
        <v>0</v>
      </c>
      <c r="IH32" s="426">
        <v>0</v>
      </c>
      <c r="II32" s="426">
        <v>0</v>
      </c>
      <c r="IJ32" s="426">
        <v>0</v>
      </c>
      <c r="IK32" s="426">
        <v>0</v>
      </c>
      <c r="IL32" s="426">
        <v>0</v>
      </c>
      <c r="IM32" s="426">
        <v>0</v>
      </c>
      <c r="IN32" s="426">
        <v>0</v>
      </c>
      <c r="IO32" s="426">
        <v>0</v>
      </c>
      <c r="IP32" s="426">
        <v>0</v>
      </c>
    </row>
    <row r="33" spans="1:250" ht="15">
      <c r="A33" s="357" t="s">
        <v>645</v>
      </c>
      <c r="B33" s="427" t="s">
        <v>776</v>
      </c>
      <c r="C33" s="427"/>
      <c r="D33" s="427"/>
      <c r="E33" s="427"/>
      <c r="F33" s="427">
        <v>2</v>
      </c>
      <c r="G33" s="427"/>
      <c r="H33" s="427">
        <v>48</v>
      </c>
      <c r="I33" s="427"/>
      <c r="J33" t="str">
        <f t="shared" si="0"/>
        <v>CLX100248</v>
      </c>
      <c r="K33" s="427">
        <v>690</v>
      </c>
      <c r="R33" s="357" t="s">
        <v>645</v>
      </c>
      <c r="S33" s="428" t="s">
        <v>776</v>
      </c>
      <c r="T33" s="428">
        <v>2</v>
      </c>
      <c r="U33" s="428">
        <v>48</v>
      </c>
      <c r="V33" s="208" t="str">
        <f t="shared" si="1"/>
        <v>CLX100248</v>
      </c>
      <c r="W33" s="428">
        <v>0</v>
      </c>
      <c r="X33" s="428">
        <v>0</v>
      </c>
      <c r="Y33" s="428">
        <v>0</v>
      </c>
      <c r="Z33" s="428">
        <v>0</v>
      </c>
      <c r="AA33" s="428">
        <v>0</v>
      </c>
      <c r="AB33" s="428">
        <v>0</v>
      </c>
      <c r="AC33" s="428">
        <v>0</v>
      </c>
      <c r="AD33" s="428">
        <v>0</v>
      </c>
      <c r="AE33" s="428">
        <v>0</v>
      </c>
      <c r="AF33" s="428">
        <v>0</v>
      </c>
      <c r="AG33" s="428">
        <v>0</v>
      </c>
      <c r="AH33" s="428">
        <v>0</v>
      </c>
      <c r="AI33" s="428">
        <v>0</v>
      </c>
      <c r="AJ33" s="428">
        <v>0</v>
      </c>
      <c r="AK33" s="428">
        <v>0</v>
      </c>
      <c r="AL33" s="428">
        <v>0</v>
      </c>
      <c r="AM33" s="428">
        <v>0</v>
      </c>
      <c r="AN33" s="428">
        <v>0</v>
      </c>
      <c r="AO33" s="428">
        <v>0</v>
      </c>
      <c r="AP33" s="428">
        <v>0</v>
      </c>
      <c r="AQ33" s="428">
        <v>0</v>
      </c>
      <c r="AR33" s="428">
        <v>0</v>
      </c>
      <c r="AS33" s="428">
        <v>0</v>
      </c>
      <c r="AT33" s="428">
        <v>0</v>
      </c>
      <c r="AU33" s="428">
        <v>0</v>
      </c>
      <c r="AV33" s="428">
        <v>0</v>
      </c>
      <c r="AW33" s="428">
        <v>0</v>
      </c>
      <c r="AX33" s="428">
        <v>0</v>
      </c>
      <c r="AY33" s="428">
        <v>0</v>
      </c>
      <c r="AZ33" s="428">
        <v>0</v>
      </c>
      <c r="BA33" s="428">
        <v>0</v>
      </c>
      <c r="BB33" s="428">
        <v>0</v>
      </c>
      <c r="BC33" s="428">
        <v>0</v>
      </c>
      <c r="BD33" s="428">
        <v>0</v>
      </c>
      <c r="BE33" s="428">
        <v>0</v>
      </c>
      <c r="BF33" s="428">
        <v>0</v>
      </c>
      <c r="BG33" s="428">
        <v>0</v>
      </c>
      <c r="BH33" s="428">
        <v>0</v>
      </c>
      <c r="BI33" s="428">
        <v>0</v>
      </c>
      <c r="BJ33" s="428">
        <v>0</v>
      </c>
      <c r="BK33" s="428">
        <v>0</v>
      </c>
      <c r="BL33" s="428">
        <v>7314.0000000000009</v>
      </c>
      <c r="BM33" s="428">
        <v>0</v>
      </c>
      <c r="BN33" s="428">
        <v>0</v>
      </c>
      <c r="BO33" s="428">
        <v>0</v>
      </c>
      <c r="BP33" s="428">
        <v>0</v>
      </c>
      <c r="BQ33" s="428">
        <v>0</v>
      </c>
      <c r="BR33" s="428">
        <v>0</v>
      </c>
      <c r="BS33" s="428">
        <v>0</v>
      </c>
      <c r="BT33" s="428">
        <v>0</v>
      </c>
      <c r="BU33" s="428">
        <v>0</v>
      </c>
      <c r="BV33" s="428">
        <v>0</v>
      </c>
      <c r="BW33" s="428">
        <v>0</v>
      </c>
      <c r="BX33" s="428">
        <v>0</v>
      </c>
      <c r="BY33" s="428">
        <v>0</v>
      </c>
      <c r="BZ33" s="428">
        <v>0</v>
      </c>
      <c r="CA33" s="428">
        <v>0</v>
      </c>
      <c r="CB33" s="428">
        <v>0</v>
      </c>
      <c r="CC33" s="428">
        <v>0</v>
      </c>
      <c r="CD33" s="428">
        <v>0</v>
      </c>
      <c r="CE33" s="428">
        <v>0</v>
      </c>
      <c r="CF33" s="428">
        <v>0</v>
      </c>
      <c r="CG33" s="428">
        <v>0</v>
      </c>
      <c r="CH33" s="428">
        <v>0</v>
      </c>
      <c r="CI33" s="428">
        <v>0</v>
      </c>
      <c r="CJ33" s="428">
        <v>0</v>
      </c>
      <c r="CK33" s="428">
        <v>0</v>
      </c>
      <c r="CL33" s="428">
        <v>0</v>
      </c>
      <c r="CM33" s="428">
        <v>0</v>
      </c>
      <c r="CN33" s="428">
        <v>0</v>
      </c>
      <c r="CO33" s="428">
        <v>0</v>
      </c>
      <c r="CP33" s="428">
        <v>0</v>
      </c>
      <c r="CQ33" s="428">
        <v>0</v>
      </c>
      <c r="CR33" s="428">
        <v>0</v>
      </c>
      <c r="CS33" s="428">
        <v>0</v>
      </c>
      <c r="CT33" s="428">
        <v>0</v>
      </c>
      <c r="CU33" s="428">
        <v>0</v>
      </c>
      <c r="CV33" s="428">
        <v>0</v>
      </c>
      <c r="CW33" s="428">
        <v>0</v>
      </c>
      <c r="CX33" s="428">
        <v>0</v>
      </c>
      <c r="CY33" s="428">
        <v>0</v>
      </c>
      <c r="CZ33" s="428">
        <v>0</v>
      </c>
      <c r="DA33" s="428">
        <v>0</v>
      </c>
      <c r="DB33" s="428">
        <v>0</v>
      </c>
      <c r="DC33" s="428">
        <v>0</v>
      </c>
      <c r="DD33" s="428">
        <v>0</v>
      </c>
      <c r="DE33" s="428">
        <v>0</v>
      </c>
      <c r="DF33" s="428">
        <v>0</v>
      </c>
      <c r="DG33" s="428">
        <v>0</v>
      </c>
      <c r="DH33" s="428">
        <v>0</v>
      </c>
      <c r="DI33" s="428">
        <v>0</v>
      </c>
      <c r="DJ33" s="428">
        <v>0</v>
      </c>
      <c r="DK33" s="428">
        <v>0</v>
      </c>
      <c r="DL33" s="428">
        <v>0</v>
      </c>
      <c r="DM33" s="428">
        <v>0</v>
      </c>
      <c r="DN33" s="428">
        <v>0</v>
      </c>
      <c r="DO33" s="428">
        <v>0</v>
      </c>
      <c r="DP33" s="428">
        <v>0</v>
      </c>
      <c r="DQ33" s="428">
        <v>0</v>
      </c>
      <c r="DR33" s="428">
        <v>0</v>
      </c>
      <c r="DS33" s="428">
        <v>0</v>
      </c>
      <c r="DT33" s="428">
        <v>0</v>
      </c>
      <c r="DU33" s="428">
        <v>0</v>
      </c>
      <c r="DV33" s="428">
        <v>0</v>
      </c>
      <c r="ED33" s="135"/>
      <c r="EE33" s="357" t="s">
        <v>645</v>
      </c>
      <c r="EF33" s="426" t="s">
        <v>776</v>
      </c>
      <c r="EG33" s="426">
        <v>2</v>
      </c>
      <c r="EH33" s="426">
        <v>48</v>
      </c>
      <c r="EI33" s="208" t="str">
        <f t="shared" si="2"/>
        <v>CLX100248</v>
      </c>
      <c r="EJ33" s="426">
        <v>731.4</v>
      </c>
      <c r="EK33" s="426">
        <v>1462.8</v>
      </c>
      <c r="EL33" s="426">
        <v>2194.1999999999998</v>
      </c>
      <c r="EM33" s="426">
        <v>2925.6</v>
      </c>
      <c r="EN33" s="426">
        <v>3657</v>
      </c>
      <c r="EO33" s="426">
        <v>4388.3999999999996</v>
      </c>
      <c r="EP33" s="426">
        <v>5119.8</v>
      </c>
      <c r="EQ33" s="426">
        <v>5851.2</v>
      </c>
      <c r="ER33" s="426">
        <v>6582.6</v>
      </c>
      <c r="ES33" s="426">
        <v>7314</v>
      </c>
      <c r="ET33" s="426">
        <v>7314</v>
      </c>
      <c r="EU33" s="426">
        <v>7314</v>
      </c>
      <c r="EV33" s="426">
        <v>7314</v>
      </c>
      <c r="EW33" s="426">
        <v>7314</v>
      </c>
      <c r="EX33" s="426">
        <v>7314</v>
      </c>
      <c r="EY33" s="426">
        <v>7314</v>
      </c>
      <c r="EZ33" s="426">
        <v>7314</v>
      </c>
      <c r="FA33" s="426">
        <v>7314</v>
      </c>
      <c r="FB33" s="426">
        <v>7314</v>
      </c>
      <c r="FC33" s="426">
        <v>7314</v>
      </c>
      <c r="FD33" s="426">
        <v>7314</v>
      </c>
      <c r="FE33" s="426">
        <v>7314</v>
      </c>
      <c r="FF33" s="426">
        <v>7314</v>
      </c>
      <c r="FG33" s="426">
        <v>7314</v>
      </c>
      <c r="FH33" s="426">
        <v>7314</v>
      </c>
      <c r="FI33" s="426">
        <v>7314</v>
      </c>
      <c r="FJ33" s="426">
        <v>7314</v>
      </c>
      <c r="FK33" s="426">
        <v>7314</v>
      </c>
      <c r="FL33" s="426">
        <v>7314</v>
      </c>
      <c r="FM33" s="426">
        <v>7314</v>
      </c>
      <c r="FN33" s="426">
        <v>7314</v>
      </c>
      <c r="FO33" s="426">
        <v>7314</v>
      </c>
      <c r="FP33" s="426">
        <v>7314</v>
      </c>
      <c r="FQ33" s="426">
        <v>7314</v>
      </c>
      <c r="FR33" s="426">
        <v>7314</v>
      </c>
      <c r="FS33" s="426">
        <v>7314</v>
      </c>
      <c r="FT33" s="426">
        <v>7314</v>
      </c>
      <c r="FU33" s="426">
        <v>7314</v>
      </c>
      <c r="FV33" s="426">
        <v>7314</v>
      </c>
      <c r="FW33" s="426">
        <v>7314</v>
      </c>
      <c r="FX33" s="426">
        <v>7314</v>
      </c>
      <c r="FY33" s="426">
        <v>7314</v>
      </c>
      <c r="FZ33" s="426">
        <v>0</v>
      </c>
      <c r="GA33" s="426">
        <v>0</v>
      </c>
      <c r="GB33" s="426">
        <v>0</v>
      </c>
      <c r="GC33" s="426">
        <v>0</v>
      </c>
      <c r="GD33" s="426">
        <v>0</v>
      </c>
      <c r="GE33" s="426">
        <v>0</v>
      </c>
      <c r="GF33" s="426">
        <v>0</v>
      </c>
      <c r="GG33" s="426">
        <v>0</v>
      </c>
      <c r="GH33" s="426">
        <v>0</v>
      </c>
      <c r="GI33" s="426">
        <v>0</v>
      </c>
      <c r="GJ33" s="426">
        <v>0</v>
      </c>
      <c r="GK33" s="426">
        <v>0</v>
      </c>
      <c r="GL33" s="426">
        <v>0</v>
      </c>
      <c r="GM33" s="426">
        <v>0</v>
      </c>
      <c r="GN33" s="426">
        <v>0</v>
      </c>
      <c r="GO33" s="426">
        <v>0</v>
      </c>
      <c r="GP33" s="426">
        <v>0</v>
      </c>
      <c r="GQ33" s="426">
        <v>0</v>
      </c>
      <c r="GR33" s="426">
        <v>0</v>
      </c>
      <c r="GS33" s="426">
        <v>0</v>
      </c>
      <c r="GT33" s="426">
        <v>0</v>
      </c>
      <c r="GU33" s="426">
        <v>0</v>
      </c>
      <c r="GV33" s="426">
        <v>0</v>
      </c>
      <c r="GW33" s="426">
        <v>0</v>
      </c>
      <c r="GX33" s="426">
        <v>0</v>
      </c>
      <c r="GY33" s="426">
        <v>0</v>
      </c>
      <c r="GZ33" s="426">
        <v>0</v>
      </c>
      <c r="HA33" s="426">
        <v>0</v>
      </c>
      <c r="HB33" s="426">
        <v>0</v>
      </c>
      <c r="HC33" s="426">
        <v>0</v>
      </c>
      <c r="HD33" s="426">
        <v>0</v>
      </c>
      <c r="HE33" s="426">
        <v>0</v>
      </c>
      <c r="HF33" s="426">
        <v>0</v>
      </c>
      <c r="HG33" s="426">
        <v>0</v>
      </c>
      <c r="HH33" s="426">
        <v>0</v>
      </c>
      <c r="HI33" s="426">
        <v>0</v>
      </c>
      <c r="HJ33" s="426">
        <v>0</v>
      </c>
      <c r="HK33" s="426">
        <v>0</v>
      </c>
      <c r="HL33" s="426">
        <v>0</v>
      </c>
      <c r="HM33" s="426">
        <v>0</v>
      </c>
      <c r="HN33" s="426">
        <v>0</v>
      </c>
      <c r="HO33" s="426">
        <v>0</v>
      </c>
      <c r="HP33" s="426">
        <v>0</v>
      </c>
      <c r="HQ33" s="426">
        <v>0</v>
      </c>
      <c r="HR33" s="426">
        <v>0</v>
      </c>
      <c r="HS33" s="426">
        <v>0</v>
      </c>
      <c r="HT33" s="426">
        <v>0</v>
      </c>
      <c r="HU33" s="426">
        <v>0</v>
      </c>
      <c r="HV33" s="426">
        <v>0</v>
      </c>
      <c r="HW33" s="426">
        <v>0</v>
      </c>
      <c r="HX33" s="426">
        <v>0</v>
      </c>
      <c r="HY33" s="426">
        <v>0</v>
      </c>
      <c r="HZ33" s="426">
        <v>0</v>
      </c>
      <c r="IA33" s="426">
        <v>0</v>
      </c>
      <c r="IB33" s="426">
        <v>0</v>
      </c>
      <c r="IC33" s="426">
        <v>0</v>
      </c>
      <c r="ID33" s="426">
        <v>0</v>
      </c>
      <c r="IE33" s="426">
        <v>0</v>
      </c>
      <c r="IF33" s="426">
        <v>0</v>
      </c>
      <c r="IG33" s="426">
        <v>0</v>
      </c>
      <c r="IH33" s="426">
        <v>0</v>
      </c>
      <c r="II33" s="426">
        <v>0</v>
      </c>
      <c r="IJ33" s="426">
        <v>0</v>
      </c>
      <c r="IK33" s="426">
        <v>0</v>
      </c>
      <c r="IL33" s="426">
        <v>0</v>
      </c>
      <c r="IM33" s="426">
        <v>0</v>
      </c>
      <c r="IN33" s="426">
        <v>0</v>
      </c>
      <c r="IO33" s="426">
        <v>0</v>
      </c>
      <c r="IP33" s="426">
        <v>0</v>
      </c>
    </row>
    <row r="34" spans="1:250" ht="15">
      <c r="A34" s="357" t="s">
        <v>645</v>
      </c>
      <c r="B34" s="427" t="s">
        <v>776</v>
      </c>
      <c r="C34" s="427"/>
      <c r="D34" s="427"/>
      <c r="E34" s="427"/>
      <c r="F34" s="427">
        <v>2</v>
      </c>
      <c r="G34" s="427"/>
      <c r="H34" s="427">
        <v>49</v>
      </c>
      <c r="I34" s="427"/>
      <c r="J34" t="str">
        <f t="shared" si="0"/>
        <v>CLX100249</v>
      </c>
      <c r="K34" s="427">
        <v>700</v>
      </c>
      <c r="R34" s="357" t="s">
        <v>645</v>
      </c>
      <c r="S34" s="428" t="s">
        <v>776</v>
      </c>
      <c r="T34" s="428">
        <v>2</v>
      </c>
      <c r="U34" s="428">
        <v>49</v>
      </c>
      <c r="V34" s="208" t="str">
        <f t="shared" si="1"/>
        <v>CLX100249</v>
      </c>
      <c r="W34" s="428">
        <v>0</v>
      </c>
      <c r="X34" s="428">
        <v>0</v>
      </c>
      <c r="Y34" s="428">
        <v>0</v>
      </c>
      <c r="Z34" s="428">
        <v>0</v>
      </c>
      <c r="AA34" s="428">
        <v>0</v>
      </c>
      <c r="AB34" s="428">
        <v>0</v>
      </c>
      <c r="AC34" s="428">
        <v>0</v>
      </c>
      <c r="AD34" s="428">
        <v>0</v>
      </c>
      <c r="AE34" s="428">
        <v>0</v>
      </c>
      <c r="AF34" s="428">
        <v>0</v>
      </c>
      <c r="AG34" s="428">
        <v>0</v>
      </c>
      <c r="AH34" s="428">
        <v>0</v>
      </c>
      <c r="AI34" s="428">
        <v>0</v>
      </c>
      <c r="AJ34" s="428">
        <v>0</v>
      </c>
      <c r="AK34" s="428">
        <v>0</v>
      </c>
      <c r="AL34" s="428">
        <v>0</v>
      </c>
      <c r="AM34" s="428">
        <v>0</v>
      </c>
      <c r="AN34" s="428">
        <v>0</v>
      </c>
      <c r="AO34" s="428">
        <v>0</v>
      </c>
      <c r="AP34" s="428">
        <v>0</v>
      </c>
      <c r="AQ34" s="428">
        <v>0</v>
      </c>
      <c r="AR34" s="428">
        <v>0</v>
      </c>
      <c r="AS34" s="428">
        <v>0</v>
      </c>
      <c r="AT34" s="428">
        <v>0</v>
      </c>
      <c r="AU34" s="428">
        <v>0</v>
      </c>
      <c r="AV34" s="428">
        <v>0</v>
      </c>
      <c r="AW34" s="428">
        <v>0</v>
      </c>
      <c r="AX34" s="428">
        <v>0</v>
      </c>
      <c r="AY34" s="428">
        <v>0</v>
      </c>
      <c r="AZ34" s="428">
        <v>0</v>
      </c>
      <c r="BA34" s="428">
        <v>0</v>
      </c>
      <c r="BB34" s="428">
        <v>0</v>
      </c>
      <c r="BC34" s="428">
        <v>0</v>
      </c>
      <c r="BD34" s="428">
        <v>0</v>
      </c>
      <c r="BE34" s="428">
        <v>0</v>
      </c>
      <c r="BF34" s="428">
        <v>0</v>
      </c>
      <c r="BG34" s="428">
        <v>0</v>
      </c>
      <c r="BH34" s="428">
        <v>0</v>
      </c>
      <c r="BI34" s="428">
        <v>0</v>
      </c>
      <c r="BJ34" s="428">
        <v>0</v>
      </c>
      <c r="BK34" s="428">
        <v>7420</v>
      </c>
      <c r="BL34" s="428">
        <v>0</v>
      </c>
      <c r="BM34" s="428">
        <v>0</v>
      </c>
      <c r="BN34" s="428">
        <v>0</v>
      </c>
      <c r="BO34" s="428">
        <v>0</v>
      </c>
      <c r="BP34" s="428">
        <v>0</v>
      </c>
      <c r="BQ34" s="428">
        <v>0</v>
      </c>
      <c r="BR34" s="428">
        <v>0</v>
      </c>
      <c r="BS34" s="428">
        <v>0</v>
      </c>
      <c r="BT34" s="428">
        <v>0</v>
      </c>
      <c r="BU34" s="428">
        <v>0</v>
      </c>
      <c r="BV34" s="428">
        <v>0</v>
      </c>
      <c r="BW34" s="428">
        <v>0</v>
      </c>
      <c r="BX34" s="428">
        <v>0</v>
      </c>
      <c r="BY34" s="428">
        <v>0</v>
      </c>
      <c r="BZ34" s="428">
        <v>0</v>
      </c>
      <c r="CA34" s="428">
        <v>0</v>
      </c>
      <c r="CB34" s="428">
        <v>0</v>
      </c>
      <c r="CC34" s="428">
        <v>0</v>
      </c>
      <c r="CD34" s="428">
        <v>0</v>
      </c>
      <c r="CE34" s="428">
        <v>0</v>
      </c>
      <c r="CF34" s="428">
        <v>0</v>
      </c>
      <c r="CG34" s="428">
        <v>0</v>
      </c>
      <c r="CH34" s="428">
        <v>0</v>
      </c>
      <c r="CI34" s="428">
        <v>0</v>
      </c>
      <c r="CJ34" s="428">
        <v>0</v>
      </c>
      <c r="CK34" s="428">
        <v>0</v>
      </c>
      <c r="CL34" s="428">
        <v>0</v>
      </c>
      <c r="CM34" s="428">
        <v>0</v>
      </c>
      <c r="CN34" s="428">
        <v>0</v>
      </c>
      <c r="CO34" s="428">
        <v>0</v>
      </c>
      <c r="CP34" s="428">
        <v>0</v>
      </c>
      <c r="CQ34" s="428">
        <v>0</v>
      </c>
      <c r="CR34" s="428">
        <v>0</v>
      </c>
      <c r="CS34" s="428">
        <v>0</v>
      </c>
      <c r="CT34" s="428">
        <v>0</v>
      </c>
      <c r="CU34" s="428">
        <v>0</v>
      </c>
      <c r="CV34" s="428">
        <v>0</v>
      </c>
      <c r="CW34" s="428">
        <v>0</v>
      </c>
      <c r="CX34" s="428">
        <v>0</v>
      </c>
      <c r="CY34" s="428">
        <v>0</v>
      </c>
      <c r="CZ34" s="428">
        <v>0</v>
      </c>
      <c r="DA34" s="428">
        <v>0</v>
      </c>
      <c r="DB34" s="428">
        <v>0</v>
      </c>
      <c r="DC34" s="428">
        <v>0</v>
      </c>
      <c r="DD34" s="428">
        <v>0</v>
      </c>
      <c r="DE34" s="428">
        <v>0</v>
      </c>
      <c r="DF34" s="428">
        <v>0</v>
      </c>
      <c r="DG34" s="428">
        <v>0</v>
      </c>
      <c r="DH34" s="428">
        <v>0</v>
      </c>
      <c r="DI34" s="428">
        <v>0</v>
      </c>
      <c r="DJ34" s="428">
        <v>0</v>
      </c>
      <c r="DK34" s="428">
        <v>0</v>
      </c>
      <c r="DL34" s="428">
        <v>0</v>
      </c>
      <c r="DM34" s="428">
        <v>0</v>
      </c>
      <c r="DN34" s="428">
        <v>0</v>
      </c>
      <c r="DO34" s="428">
        <v>0</v>
      </c>
      <c r="DP34" s="428">
        <v>0</v>
      </c>
      <c r="DQ34" s="428">
        <v>0</v>
      </c>
      <c r="DR34" s="428">
        <v>0</v>
      </c>
      <c r="DS34" s="428">
        <v>0</v>
      </c>
      <c r="DT34" s="428">
        <v>0</v>
      </c>
      <c r="DU34" s="428">
        <v>0</v>
      </c>
      <c r="DV34" s="428">
        <v>0</v>
      </c>
      <c r="ED34" s="135"/>
      <c r="EE34" s="357" t="s">
        <v>645</v>
      </c>
      <c r="EF34" s="426" t="s">
        <v>776</v>
      </c>
      <c r="EG34" s="426">
        <v>2</v>
      </c>
      <c r="EH34" s="426">
        <v>49</v>
      </c>
      <c r="EI34" s="208" t="str">
        <f t="shared" si="2"/>
        <v>CLX100249</v>
      </c>
      <c r="EJ34" s="426">
        <v>742</v>
      </c>
      <c r="EK34" s="426">
        <v>1484</v>
      </c>
      <c r="EL34" s="426">
        <v>2226</v>
      </c>
      <c r="EM34" s="426">
        <v>2968</v>
      </c>
      <c r="EN34" s="426">
        <v>3710</v>
      </c>
      <c r="EO34" s="426">
        <v>4452</v>
      </c>
      <c r="EP34" s="426">
        <v>5194</v>
      </c>
      <c r="EQ34" s="426">
        <v>5936</v>
      </c>
      <c r="ER34" s="426">
        <v>6678</v>
      </c>
      <c r="ES34" s="426">
        <v>7420</v>
      </c>
      <c r="ET34" s="426">
        <v>7420</v>
      </c>
      <c r="EU34" s="426">
        <v>7420</v>
      </c>
      <c r="EV34" s="426">
        <v>7420</v>
      </c>
      <c r="EW34" s="426">
        <v>7420</v>
      </c>
      <c r="EX34" s="426">
        <v>7420</v>
      </c>
      <c r="EY34" s="426">
        <v>7420</v>
      </c>
      <c r="EZ34" s="426">
        <v>7420</v>
      </c>
      <c r="FA34" s="426">
        <v>7420</v>
      </c>
      <c r="FB34" s="426">
        <v>7420</v>
      </c>
      <c r="FC34" s="426">
        <v>7420</v>
      </c>
      <c r="FD34" s="426">
        <v>7420</v>
      </c>
      <c r="FE34" s="426">
        <v>7420</v>
      </c>
      <c r="FF34" s="426">
        <v>7420</v>
      </c>
      <c r="FG34" s="426">
        <v>7420</v>
      </c>
      <c r="FH34" s="426">
        <v>7420</v>
      </c>
      <c r="FI34" s="426">
        <v>7420</v>
      </c>
      <c r="FJ34" s="426">
        <v>7420</v>
      </c>
      <c r="FK34" s="426">
        <v>7420</v>
      </c>
      <c r="FL34" s="426">
        <v>7420</v>
      </c>
      <c r="FM34" s="426">
        <v>7420</v>
      </c>
      <c r="FN34" s="426">
        <v>7420</v>
      </c>
      <c r="FO34" s="426">
        <v>7420</v>
      </c>
      <c r="FP34" s="426">
        <v>7420</v>
      </c>
      <c r="FQ34" s="426">
        <v>7420</v>
      </c>
      <c r="FR34" s="426">
        <v>7420</v>
      </c>
      <c r="FS34" s="426">
        <v>7420</v>
      </c>
      <c r="FT34" s="426">
        <v>7420</v>
      </c>
      <c r="FU34" s="426">
        <v>7420</v>
      </c>
      <c r="FV34" s="426">
        <v>7420</v>
      </c>
      <c r="FW34" s="426">
        <v>7420</v>
      </c>
      <c r="FX34" s="426">
        <v>7420</v>
      </c>
      <c r="FY34" s="426">
        <v>0</v>
      </c>
      <c r="FZ34" s="426">
        <v>0</v>
      </c>
      <c r="GA34" s="426">
        <v>0</v>
      </c>
      <c r="GB34" s="426">
        <v>0</v>
      </c>
      <c r="GC34" s="426">
        <v>0</v>
      </c>
      <c r="GD34" s="426">
        <v>0</v>
      </c>
      <c r="GE34" s="426">
        <v>0</v>
      </c>
      <c r="GF34" s="426">
        <v>0</v>
      </c>
      <c r="GG34" s="426">
        <v>0</v>
      </c>
      <c r="GH34" s="426">
        <v>0</v>
      </c>
      <c r="GI34" s="426">
        <v>0</v>
      </c>
      <c r="GJ34" s="426">
        <v>0</v>
      </c>
      <c r="GK34" s="426">
        <v>0</v>
      </c>
      <c r="GL34" s="426">
        <v>0</v>
      </c>
      <c r="GM34" s="426">
        <v>0</v>
      </c>
      <c r="GN34" s="426">
        <v>0</v>
      </c>
      <c r="GO34" s="426">
        <v>0</v>
      </c>
      <c r="GP34" s="426">
        <v>0</v>
      </c>
      <c r="GQ34" s="426">
        <v>0</v>
      </c>
      <c r="GR34" s="426">
        <v>0</v>
      </c>
      <c r="GS34" s="426">
        <v>0</v>
      </c>
      <c r="GT34" s="426">
        <v>0</v>
      </c>
      <c r="GU34" s="426">
        <v>0</v>
      </c>
      <c r="GV34" s="426">
        <v>0</v>
      </c>
      <c r="GW34" s="426">
        <v>0</v>
      </c>
      <c r="GX34" s="426">
        <v>0</v>
      </c>
      <c r="GY34" s="426">
        <v>0</v>
      </c>
      <c r="GZ34" s="426">
        <v>0</v>
      </c>
      <c r="HA34" s="426">
        <v>0</v>
      </c>
      <c r="HB34" s="426">
        <v>0</v>
      </c>
      <c r="HC34" s="426">
        <v>0</v>
      </c>
      <c r="HD34" s="426">
        <v>0</v>
      </c>
      <c r="HE34" s="426">
        <v>0</v>
      </c>
      <c r="HF34" s="426">
        <v>0</v>
      </c>
      <c r="HG34" s="426">
        <v>0</v>
      </c>
      <c r="HH34" s="426">
        <v>0</v>
      </c>
      <c r="HI34" s="426">
        <v>0</v>
      </c>
      <c r="HJ34" s="426">
        <v>0</v>
      </c>
      <c r="HK34" s="426">
        <v>0</v>
      </c>
      <c r="HL34" s="426">
        <v>0</v>
      </c>
      <c r="HM34" s="426">
        <v>0</v>
      </c>
      <c r="HN34" s="426">
        <v>0</v>
      </c>
      <c r="HO34" s="426">
        <v>0</v>
      </c>
      <c r="HP34" s="426">
        <v>0</v>
      </c>
      <c r="HQ34" s="426">
        <v>0</v>
      </c>
      <c r="HR34" s="426">
        <v>0</v>
      </c>
      <c r="HS34" s="426">
        <v>0</v>
      </c>
      <c r="HT34" s="426">
        <v>0</v>
      </c>
      <c r="HU34" s="426">
        <v>0</v>
      </c>
      <c r="HV34" s="426">
        <v>0</v>
      </c>
      <c r="HW34" s="426">
        <v>0</v>
      </c>
      <c r="HX34" s="426">
        <v>0</v>
      </c>
      <c r="HY34" s="426">
        <v>0</v>
      </c>
      <c r="HZ34" s="426">
        <v>0</v>
      </c>
      <c r="IA34" s="426">
        <v>0</v>
      </c>
      <c r="IB34" s="426">
        <v>0</v>
      </c>
      <c r="IC34" s="426">
        <v>0</v>
      </c>
      <c r="ID34" s="426">
        <v>0</v>
      </c>
      <c r="IE34" s="426">
        <v>0</v>
      </c>
      <c r="IF34" s="426">
        <v>0</v>
      </c>
      <c r="IG34" s="426">
        <v>0</v>
      </c>
      <c r="IH34" s="426">
        <v>0</v>
      </c>
      <c r="II34" s="426">
        <v>0</v>
      </c>
      <c r="IJ34" s="426">
        <v>0</v>
      </c>
      <c r="IK34" s="426">
        <v>0</v>
      </c>
      <c r="IL34" s="426">
        <v>0</v>
      </c>
      <c r="IM34" s="426">
        <v>0</v>
      </c>
      <c r="IN34" s="426">
        <v>0</v>
      </c>
      <c r="IO34" s="426">
        <v>0</v>
      </c>
      <c r="IP34" s="426">
        <v>0</v>
      </c>
    </row>
    <row r="35" spans="1:250" ht="15">
      <c r="A35" s="357" t="s">
        <v>645</v>
      </c>
      <c r="B35" s="427" t="s">
        <v>776</v>
      </c>
      <c r="C35" s="427"/>
      <c r="D35" s="427"/>
      <c r="E35" s="427"/>
      <c r="F35" s="427">
        <v>2</v>
      </c>
      <c r="G35" s="427"/>
      <c r="H35" s="427">
        <v>50</v>
      </c>
      <c r="I35" s="427"/>
      <c r="J35" t="str">
        <f t="shared" si="0"/>
        <v>CLX100250</v>
      </c>
      <c r="K35" s="427">
        <v>710</v>
      </c>
      <c r="R35" s="357" t="s">
        <v>645</v>
      </c>
      <c r="S35" s="428" t="s">
        <v>776</v>
      </c>
      <c r="T35" s="428">
        <v>2</v>
      </c>
      <c r="U35" s="428">
        <v>50</v>
      </c>
      <c r="V35" s="208" t="str">
        <f t="shared" si="1"/>
        <v>CLX100250</v>
      </c>
      <c r="W35" s="428">
        <v>0</v>
      </c>
      <c r="X35" s="428">
        <v>0</v>
      </c>
      <c r="Y35" s="428">
        <v>0</v>
      </c>
      <c r="Z35" s="428">
        <v>0</v>
      </c>
      <c r="AA35" s="428">
        <v>0</v>
      </c>
      <c r="AB35" s="428">
        <v>0</v>
      </c>
      <c r="AC35" s="428">
        <v>0</v>
      </c>
      <c r="AD35" s="428">
        <v>0</v>
      </c>
      <c r="AE35" s="428">
        <v>0</v>
      </c>
      <c r="AF35" s="428">
        <v>0</v>
      </c>
      <c r="AG35" s="428">
        <v>0</v>
      </c>
      <c r="AH35" s="428">
        <v>0</v>
      </c>
      <c r="AI35" s="428">
        <v>0</v>
      </c>
      <c r="AJ35" s="428">
        <v>0</v>
      </c>
      <c r="AK35" s="428">
        <v>0</v>
      </c>
      <c r="AL35" s="428">
        <v>0</v>
      </c>
      <c r="AM35" s="428">
        <v>0</v>
      </c>
      <c r="AN35" s="428">
        <v>0</v>
      </c>
      <c r="AO35" s="428">
        <v>0</v>
      </c>
      <c r="AP35" s="428">
        <v>0</v>
      </c>
      <c r="AQ35" s="428">
        <v>0</v>
      </c>
      <c r="AR35" s="428">
        <v>0</v>
      </c>
      <c r="AS35" s="428">
        <v>0</v>
      </c>
      <c r="AT35" s="428">
        <v>0</v>
      </c>
      <c r="AU35" s="428">
        <v>0</v>
      </c>
      <c r="AV35" s="428">
        <v>0</v>
      </c>
      <c r="AW35" s="428">
        <v>0</v>
      </c>
      <c r="AX35" s="428">
        <v>0</v>
      </c>
      <c r="AY35" s="428">
        <v>0</v>
      </c>
      <c r="AZ35" s="428">
        <v>0</v>
      </c>
      <c r="BA35" s="428">
        <v>0</v>
      </c>
      <c r="BB35" s="428">
        <v>0</v>
      </c>
      <c r="BC35" s="428">
        <v>0</v>
      </c>
      <c r="BD35" s="428">
        <v>0</v>
      </c>
      <c r="BE35" s="428">
        <v>0</v>
      </c>
      <c r="BF35" s="428">
        <v>0</v>
      </c>
      <c r="BG35" s="428">
        <v>0</v>
      </c>
      <c r="BH35" s="428">
        <v>0</v>
      </c>
      <c r="BI35" s="428">
        <v>0</v>
      </c>
      <c r="BJ35" s="428">
        <v>7526</v>
      </c>
      <c r="BK35" s="428">
        <v>0</v>
      </c>
      <c r="BL35" s="428">
        <v>0</v>
      </c>
      <c r="BM35" s="428">
        <v>0</v>
      </c>
      <c r="BN35" s="428">
        <v>0</v>
      </c>
      <c r="BO35" s="428">
        <v>0</v>
      </c>
      <c r="BP35" s="428">
        <v>0</v>
      </c>
      <c r="BQ35" s="428">
        <v>0</v>
      </c>
      <c r="BR35" s="428">
        <v>0</v>
      </c>
      <c r="BS35" s="428">
        <v>0</v>
      </c>
      <c r="BT35" s="428">
        <v>0</v>
      </c>
      <c r="BU35" s="428">
        <v>0</v>
      </c>
      <c r="BV35" s="428">
        <v>0</v>
      </c>
      <c r="BW35" s="428">
        <v>0</v>
      </c>
      <c r="BX35" s="428">
        <v>0</v>
      </c>
      <c r="BY35" s="428">
        <v>0</v>
      </c>
      <c r="BZ35" s="428">
        <v>0</v>
      </c>
      <c r="CA35" s="428">
        <v>0</v>
      </c>
      <c r="CB35" s="428">
        <v>0</v>
      </c>
      <c r="CC35" s="428">
        <v>0</v>
      </c>
      <c r="CD35" s="428">
        <v>0</v>
      </c>
      <c r="CE35" s="428">
        <v>0</v>
      </c>
      <c r="CF35" s="428">
        <v>0</v>
      </c>
      <c r="CG35" s="428">
        <v>0</v>
      </c>
      <c r="CH35" s="428">
        <v>0</v>
      </c>
      <c r="CI35" s="428">
        <v>0</v>
      </c>
      <c r="CJ35" s="428">
        <v>0</v>
      </c>
      <c r="CK35" s="428">
        <v>0</v>
      </c>
      <c r="CL35" s="428">
        <v>0</v>
      </c>
      <c r="CM35" s="428">
        <v>0</v>
      </c>
      <c r="CN35" s="428">
        <v>0</v>
      </c>
      <c r="CO35" s="428">
        <v>0</v>
      </c>
      <c r="CP35" s="428">
        <v>0</v>
      </c>
      <c r="CQ35" s="428">
        <v>0</v>
      </c>
      <c r="CR35" s="428">
        <v>0</v>
      </c>
      <c r="CS35" s="428">
        <v>0</v>
      </c>
      <c r="CT35" s="428">
        <v>0</v>
      </c>
      <c r="CU35" s="428">
        <v>0</v>
      </c>
      <c r="CV35" s="428">
        <v>0</v>
      </c>
      <c r="CW35" s="428">
        <v>0</v>
      </c>
      <c r="CX35" s="428">
        <v>0</v>
      </c>
      <c r="CY35" s="428">
        <v>0</v>
      </c>
      <c r="CZ35" s="428">
        <v>0</v>
      </c>
      <c r="DA35" s="428">
        <v>0</v>
      </c>
      <c r="DB35" s="428">
        <v>0</v>
      </c>
      <c r="DC35" s="428">
        <v>0</v>
      </c>
      <c r="DD35" s="428">
        <v>0</v>
      </c>
      <c r="DE35" s="428">
        <v>0</v>
      </c>
      <c r="DF35" s="428">
        <v>0</v>
      </c>
      <c r="DG35" s="428">
        <v>0</v>
      </c>
      <c r="DH35" s="428">
        <v>0</v>
      </c>
      <c r="DI35" s="428">
        <v>0</v>
      </c>
      <c r="DJ35" s="428">
        <v>0</v>
      </c>
      <c r="DK35" s="428">
        <v>0</v>
      </c>
      <c r="DL35" s="428">
        <v>0</v>
      </c>
      <c r="DM35" s="428">
        <v>0</v>
      </c>
      <c r="DN35" s="428">
        <v>0</v>
      </c>
      <c r="DO35" s="428">
        <v>0</v>
      </c>
      <c r="DP35" s="428">
        <v>0</v>
      </c>
      <c r="DQ35" s="428">
        <v>0</v>
      </c>
      <c r="DR35" s="428">
        <v>0</v>
      </c>
      <c r="DS35" s="428">
        <v>0</v>
      </c>
      <c r="DT35" s="428">
        <v>0</v>
      </c>
      <c r="DU35" s="428">
        <v>0</v>
      </c>
      <c r="DV35" s="428">
        <v>0</v>
      </c>
      <c r="ED35" s="135"/>
      <c r="EE35" s="357" t="s">
        <v>645</v>
      </c>
      <c r="EF35" s="426" t="s">
        <v>776</v>
      </c>
      <c r="EG35" s="426">
        <v>2</v>
      </c>
      <c r="EH35" s="426">
        <v>50</v>
      </c>
      <c r="EI35" s="208" t="str">
        <f t="shared" si="2"/>
        <v>CLX100250</v>
      </c>
      <c r="EJ35" s="426">
        <v>752.6</v>
      </c>
      <c r="EK35" s="426">
        <v>1505.2</v>
      </c>
      <c r="EL35" s="426">
        <v>2257.8000000000002</v>
      </c>
      <c r="EM35" s="426">
        <v>3010.4</v>
      </c>
      <c r="EN35" s="426">
        <v>3763</v>
      </c>
      <c r="EO35" s="426">
        <v>4515.6000000000004</v>
      </c>
      <c r="EP35" s="426">
        <v>5268.2</v>
      </c>
      <c r="EQ35" s="426">
        <v>6020.8</v>
      </c>
      <c r="ER35" s="426">
        <v>6773.4</v>
      </c>
      <c r="ES35" s="426">
        <v>7526</v>
      </c>
      <c r="ET35" s="426">
        <v>7526</v>
      </c>
      <c r="EU35" s="426">
        <v>7526</v>
      </c>
      <c r="EV35" s="426">
        <v>7526</v>
      </c>
      <c r="EW35" s="426">
        <v>7526</v>
      </c>
      <c r="EX35" s="426">
        <v>7526</v>
      </c>
      <c r="EY35" s="426">
        <v>7526</v>
      </c>
      <c r="EZ35" s="426">
        <v>7526</v>
      </c>
      <c r="FA35" s="426">
        <v>7526</v>
      </c>
      <c r="FB35" s="426">
        <v>7526</v>
      </c>
      <c r="FC35" s="426">
        <v>7526</v>
      </c>
      <c r="FD35" s="426">
        <v>7526</v>
      </c>
      <c r="FE35" s="426">
        <v>7526</v>
      </c>
      <c r="FF35" s="426">
        <v>7526</v>
      </c>
      <c r="FG35" s="426">
        <v>7526</v>
      </c>
      <c r="FH35" s="426">
        <v>7526</v>
      </c>
      <c r="FI35" s="426">
        <v>7526</v>
      </c>
      <c r="FJ35" s="426">
        <v>7526</v>
      </c>
      <c r="FK35" s="426">
        <v>7526</v>
      </c>
      <c r="FL35" s="426">
        <v>7526</v>
      </c>
      <c r="FM35" s="426">
        <v>7526</v>
      </c>
      <c r="FN35" s="426">
        <v>7526</v>
      </c>
      <c r="FO35" s="426">
        <v>7526</v>
      </c>
      <c r="FP35" s="426">
        <v>7526</v>
      </c>
      <c r="FQ35" s="426">
        <v>7526</v>
      </c>
      <c r="FR35" s="426">
        <v>7526</v>
      </c>
      <c r="FS35" s="426">
        <v>7526</v>
      </c>
      <c r="FT35" s="426">
        <v>7526</v>
      </c>
      <c r="FU35" s="426">
        <v>7526</v>
      </c>
      <c r="FV35" s="426">
        <v>7526</v>
      </c>
      <c r="FW35" s="426">
        <v>7526</v>
      </c>
      <c r="FX35" s="426">
        <v>0</v>
      </c>
      <c r="FY35" s="426">
        <v>0</v>
      </c>
      <c r="FZ35" s="426">
        <v>0</v>
      </c>
      <c r="GA35" s="426">
        <v>0</v>
      </c>
      <c r="GB35" s="426">
        <v>0</v>
      </c>
      <c r="GC35" s="426">
        <v>0</v>
      </c>
      <c r="GD35" s="426">
        <v>0</v>
      </c>
      <c r="GE35" s="426">
        <v>0</v>
      </c>
      <c r="GF35" s="426">
        <v>0</v>
      </c>
      <c r="GG35" s="426">
        <v>0</v>
      </c>
      <c r="GH35" s="426">
        <v>0</v>
      </c>
      <c r="GI35" s="426">
        <v>0</v>
      </c>
      <c r="GJ35" s="426">
        <v>0</v>
      </c>
      <c r="GK35" s="426">
        <v>0</v>
      </c>
      <c r="GL35" s="426">
        <v>0</v>
      </c>
      <c r="GM35" s="426">
        <v>0</v>
      </c>
      <c r="GN35" s="426">
        <v>0</v>
      </c>
      <c r="GO35" s="426">
        <v>0</v>
      </c>
      <c r="GP35" s="426">
        <v>0</v>
      </c>
      <c r="GQ35" s="426">
        <v>0</v>
      </c>
      <c r="GR35" s="426">
        <v>0</v>
      </c>
      <c r="GS35" s="426">
        <v>0</v>
      </c>
      <c r="GT35" s="426">
        <v>0</v>
      </c>
      <c r="GU35" s="426">
        <v>0</v>
      </c>
      <c r="GV35" s="426">
        <v>0</v>
      </c>
      <c r="GW35" s="426">
        <v>0</v>
      </c>
      <c r="GX35" s="426">
        <v>0</v>
      </c>
      <c r="GY35" s="426">
        <v>0</v>
      </c>
      <c r="GZ35" s="426">
        <v>0</v>
      </c>
      <c r="HA35" s="426">
        <v>0</v>
      </c>
      <c r="HB35" s="426">
        <v>0</v>
      </c>
      <c r="HC35" s="426">
        <v>0</v>
      </c>
      <c r="HD35" s="426">
        <v>0</v>
      </c>
      <c r="HE35" s="426">
        <v>0</v>
      </c>
      <c r="HF35" s="426">
        <v>0</v>
      </c>
      <c r="HG35" s="426">
        <v>0</v>
      </c>
      <c r="HH35" s="426">
        <v>0</v>
      </c>
      <c r="HI35" s="426">
        <v>0</v>
      </c>
      <c r="HJ35" s="426">
        <v>0</v>
      </c>
      <c r="HK35" s="426">
        <v>0</v>
      </c>
      <c r="HL35" s="426">
        <v>0</v>
      </c>
      <c r="HM35" s="426">
        <v>0</v>
      </c>
      <c r="HN35" s="426">
        <v>0</v>
      </c>
      <c r="HO35" s="426">
        <v>0</v>
      </c>
      <c r="HP35" s="426">
        <v>0</v>
      </c>
      <c r="HQ35" s="426">
        <v>0</v>
      </c>
      <c r="HR35" s="426">
        <v>0</v>
      </c>
      <c r="HS35" s="426">
        <v>0</v>
      </c>
      <c r="HT35" s="426">
        <v>0</v>
      </c>
      <c r="HU35" s="426">
        <v>0</v>
      </c>
      <c r="HV35" s="426">
        <v>0</v>
      </c>
      <c r="HW35" s="426">
        <v>0</v>
      </c>
      <c r="HX35" s="426">
        <v>0</v>
      </c>
      <c r="HY35" s="426">
        <v>0</v>
      </c>
      <c r="HZ35" s="426">
        <v>0</v>
      </c>
      <c r="IA35" s="426">
        <v>0</v>
      </c>
      <c r="IB35" s="426">
        <v>0</v>
      </c>
      <c r="IC35" s="426">
        <v>0</v>
      </c>
      <c r="ID35" s="426">
        <v>0</v>
      </c>
      <c r="IE35" s="426">
        <v>0</v>
      </c>
      <c r="IF35" s="426">
        <v>0</v>
      </c>
      <c r="IG35" s="426">
        <v>0</v>
      </c>
      <c r="IH35" s="426">
        <v>0</v>
      </c>
      <c r="II35" s="426">
        <v>0</v>
      </c>
      <c r="IJ35" s="426">
        <v>0</v>
      </c>
      <c r="IK35" s="426">
        <v>0</v>
      </c>
      <c r="IL35" s="426">
        <v>0</v>
      </c>
      <c r="IM35" s="426">
        <v>0</v>
      </c>
      <c r="IN35" s="426">
        <v>0</v>
      </c>
      <c r="IO35" s="426">
        <v>0</v>
      </c>
      <c r="IP35" s="426">
        <v>0</v>
      </c>
    </row>
    <row r="36" spans="1:250" ht="15">
      <c r="A36" s="357" t="s">
        <v>645</v>
      </c>
      <c r="B36" s="427" t="s">
        <v>776</v>
      </c>
      <c r="C36" s="427"/>
      <c r="D36" s="427"/>
      <c r="E36" s="427"/>
      <c r="F36" s="427">
        <v>2</v>
      </c>
      <c r="G36" s="427"/>
      <c r="H36" s="427">
        <v>51</v>
      </c>
      <c r="I36" s="427"/>
      <c r="J36" t="str">
        <f t="shared" si="0"/>
        <v>CLX100251</v>
      </c>
      <c r="K36" s="427">
        <v>720</v>
      </c>
      <c r="R36" s="357" t="s">
        <v>645</v>
      </c>
      <c r="S36" s="428" t="s">
        <v>776</v>
      </c>
      <c r="T36" s="428">
        <v>2</v>
      </c>
      <c r="U36" s="428">
        <v>51</v>
      </c>
      <c r="V36" s="208" t="str">
        <f t="shared" si="1"/>
        <v>CLX100251</v>
      </c>
      <c r="W36" s="428">
        <v>0</v>
      </c>
      <c r="X36" s="428">
        <v>0</v>
      </c>
      <c r="Y36" s="428">
        <v>0</v>
      </c>
      <c r="Z36" s="428">
        <v>0</v>
      </c>
      <c r="AA36" s="428">
        <v>0</v>
      </c>
      <c r="AB36" s="428">
        <v>0</v>
      </c>
      <c r="AC36" s="428">
        <v>0</v>
      </c>
      <c r="AD36" s="428">
        <v>0</v>
      </c>
      <c r="AE36" s="428">
        <v>0</v>
      </c>
      <c r="AF36" s="428">
        <v>0</v>
      </c>
      <c r="AG36" s="428">
        <v>0</v>
      </c>
      <c r="AH36" s="428">
        <v>0</v>
      </c>
      <c r="AI36" s="428">
        <v>0</v>
      </c>
      <c r="AJ36" s="428">
        <v>0</v>
      </c>
      <c r="AK36" s="428">
        <v>0</v>
      </c>
      <c r="AL36" s="428">
        <v>0</v>
      </c>
      <c r="AM36" s="428">
        <v>0</v>
      </c>
      <c r="AN36" s="428">
        <v>0</v>
      </c>
      <c r="AO36" s="428">
        <v>0</v>
      </c>
      <c r="AP36" s="428">
        <v>0</v>
      </c>
      <c r="AQ36" s="428">
        <v>0</v>
      </c>
      <c r="AR36" s="428">
        <v>0</v>
      </c>
      <c r="AS36" s="428">
        <v>0</v>
      </c>
      <c r="AT36" s="428">
        <v>0</v>
      </c>
      <c r="AU36" s="428">
        <v>0</v>
      </c>
      <c r="AV36" s="428">
        <v>0</v>
      </c>
      <c r="AW36" s="428">
        <v>0</v>
      </c>
      <c r="AX36" s="428">
        <v>0</v>
      </c>
      <c r="AY36" s="428">
        <v>0</v>
      </c>
      <c r="AZ36" s="428">
        <v>0</v>
      </c>
      <c r="BA36" s="428">
        <v>0</v>
      </c>
      <c r="BB36" s="428">
        <v>0</v>
      </c>
      <c r="BC36" s="428">
        <v>0</v>
      </c>
      <c r="BD36" s="428">
        <v>0</v>
      </c>
      <c r="BE36" s="428">
        <v>0</v>
      </c>
      <c r="BF36" s="428">
        <v>0</v>
      </c>
      <c r="BG36" s="428">
        <v>0</v>
      </c>
      <c r="BH36" s="428">
        <v>0</v>
      </c>
      <c r="BI36" s="428">
        <v>7632</v>
      </c>
      <c r="BJ36" s="428">
        <v>0</v>
      </c>
      <c r="BK36" s="428">
        <v>0</v>
      </c>
      <c r="BL36" s="428">
        <v>0</v>
      </c>
      <c r="BM36" s="428">
        <v>0</v>
      </c>
      <c r="BN36" s="428">
        <v>0</v>
      </c>
      <c r="BO36" s="428">
        <v>0</v>
      </c>
      <c r="BP36" s="428">
        <v>0</v>
      </c>
      <c r="BQ36" s="428">
        <v>0</v>
      </c>
      <c r="BR36" s="428">
        <v>0</v>
      </c>
      <c r="BS36" s="428">
        <v>0</v>
      </c>
      <c r="BT36" s="428">
        <v>0</v>
      </c>
      <c r="BU36" s="428">
        <v>0</v>
      </c>
      <c r="BV36" s="428">
        <v>0</v>
      </c>
      <c r="BW36" s="428">
        <v>0</v>
      </c>
      <c r="BX36" s="428">
        <v>0</v>
      </c>
      <c r="BY36" s="428">
        <v>0</v>
      </c>
      <c r="BZ36" s="428">
        <v>0</v>
      </c>
      <c r="CA36" s="428">
        <v>0</v>
      </c>
      <c r="CB36" s="428">
        <v>0</v>
      </c>
      <c r="CC36" s="428">
        <v>0</v>
      </c>
      <c r="CD36" s="428">
        <v>0</v>
      </c>
      <c r="CE36" s="428">
        <v>0</v>
      </c>
      <c r="CF36" s="428">
        <v>0</v>
      </c>
      <c r="CG36" s="428">
        <v>0</v>
      </c>
      <c r="CH36" s="428">
        <v>0</v>
      </c>
      <c r="CI36" s="428">
        <v>0</v>
      </c>
      <c r="CJ36" s="428">
        <v>0</v>
      </c>
      <c r="CK36" s="428">
        <v>0</v>
      </c>
      <c r="CL36" s="428">
        <v>0</v>
      </c>
      <c r="CM36" s="428">
        <v>0</v>
      </c>
      <c r="CN36" s="428">
        <v>0</v>
      </c>
      <c r="CO36" s="428">
        <v>0</v>
      </c>
      <c r="CP36" s="428">
        <v>0</v>
      </c>
      <c r="CQ36" s="428">
        <v>0</v>
      </c>
      <c r="CR36" s="428">
        <v>0</v>
      </c>
      <c r="CS36" s="428">
        <v>0</v>
      </c>
      <c r="CT36" s="428">
        <v>0</v>
      </c>
      <c r="CU36" s="428">
        <v>0</v>
      </c>
      <c r="CV36" s="428">
        <v>0</v>
      </c>
      <c r="CW36" s="428">
        <v>0</v>
      </c>
      <c r="CX36" s="428">
        <v>0</v>
      </c>
      <c r="CY36" s="428">
        <v>0</v>
      </c>
      <c r="CZ36" s="428">
        <v>0</v>
      </c>
      <c r="DA36" s="428">
        <v>0</v>
      </c>
      <c r="DB36" s="428">
        <v>0</v>
      </c>
      <c r="DC36" s="428">
        <v>0</v>
      </c>
      <c r="DD36" s="428">
        <v>0</v>
      </c>
      <c r="DE36" s="428">
        <v>0</v>
      </c>
      <c r="DF36" s="428">
        <v>0</v>
      </c>
      <c r="DG36" s="428">
        <v>0</v>
      </c>
      <c r="DH36" s="428">
        <v>0</v>
      </c>
      <c r="DI36" s="428">
        <v>0</v>
      </c>
      <c r="DJ36" s="428">
        <v>0</v>
      </c>
      <c r="DK36" s="428">
        <v>0</v>
      </c>
      <c r="DL36" s="428">
        <v>0</v>
      </c>
      <c r="DM36" s="428">
        <v>0</v>
      </c>
      <c r="DN36" s="428">
        <v>0</v>
      </c>
      <c r="DO36" s="428">
        <v>0</v>
      </c>
      <c r="DP36" s="428">
        <v>0</v>
      </c>
      <c r="DQ36" s="428">
        <v>0</v>
      </c>
      <c r="DR36" s="428">
        <v>0</v>
      </c>
      <c r="DS36" s="428">
        <v>0</v>
      </c>
      <c r="DT36" s="428">
        <v>0</v>
      </c>
      <c r="DU36" s="428">
        <v>0</v>
      </c>
      <c r="DV36" s="428">
        <v>0</v>
      </c>
      <c r="ED36" s="135"/>
      <c r="EE36" s="357" t="s">
        <v>645</v>
      </c>
      <c r="EF36" s="426" t="s">
        <v>776</v>
      </c>
      <c r="EG36" s="426">
        <v>2</v>
      </c>
      <c r="EH36" s="426">
        <v>51</v>
      </c>
      <c r="EI36" s="208" t="str">
        <f t="shared" si="2"/>
        <v>CLX100251</v>
      </c>
      <c r="EJ36" s="426">
        <v>763.2</v>
      </c>
      <c r="EK36" s="426">
        <v>1526.4</v>
      </c>
      <c r="EL36" s="426">
        <v>2289.6</v>
      </c>
      <c r="EM36" s="426">
        <v>3052.8</v>
      </c>
      <c r="EN36" s="426">
        <v>3816</v>
      </c>
      <c r="EO36" s="426">
        <v>4579.2</v>
      </c>
      <c r="EP36" s="426">
        <v>5342.4</v>
      </c>
      <c r="EQ36" s="426">
        <v>6105.6</v>
      </c>
      <c r="ER36" s="426">
        <v>6868.8</v>
      </c>
      <c r="ES36" s="426">
        <v>7632</v>
      </c>
      <c r="ET36" s="426">
        <v>7632</v>
      </c>
      <c r="EU36" s="426">
        <v>7632</v>
      </c>
      <c r="EV36" s="426">
        <v>7632</v>
      </c>
      <c r="EW36" s="426">
        <v>7632</v>
      </c>
      <c r="EX36" s="426">
        <v>7632</v>
      </c>
      <c r="EY36" s="426">
        <v>7632</v>
      </c>
      <c r="EZ36" s="426">
        <v>7632</v>
      </c>
      <c r="FA36" s="426">
        <v>7632</v>
      </c>
      <c r="FB36" s="426">
        <v>7632</v>
      </c>
      <c r="FC36" s="426">
        <v>7632</v>
      </c>
      <c r="FD36" s="426">
        <v>7632</v>
      </c>
      <c r="FE36" s="426">
        <v>7632</v>
      </c>
      <c r="FF36" s="426">
        <v>7632</v>
      </c>
      <c r="FG36" s="426">
        <v>7632</v>
      </c>
      <c r="FH36" s="426">
        <v>7632</v>
      </c>
      <c r="FI36" s="426">
        <v>7632</v>
      </c>
      <c r="FJ36" s="426">
        <v>7632</v>
      </c>
      <c r="FK36" s="426">
        <v>7632</v>
      </c>
      <c r="FL36" s="426">
        <v>7632</v>
      </c>
      <c r="FM36" s="426">
        <v>7632</v>
      </c>
      <c r="FN36" s="426">
        <v>7632</v>
      </c>
      <c r="FO36" s="426">
        <v>7632</v>
      </c>
      <c r="FP36" s="426">
        <v>7632</v>
      </c>
      <c r="FQ36" s="426">
        <v>7632</v>
      </c>
      <c r="FR36" s="426">
        <v>7632</v>
      </c>
      <c r="FS36" s="426">
        <v>7632</v>
      </c>
      <c r="FT36" s="426">
        <v>7632</v>
      </c>
      <c r="FU36" s="426">
        <v>7632</v>
      </c>
      <c r="FV36" s="426">
        <v>7632</v>
      </c>
      <c r="FW36" s="426">
        <v>0</v>
      </c>
      <c r="FX36" s="426">
        <v>0</v>
      </c>
      <c r="FY36" s="426">
        <v>0</v>
      </c>
      <c r="FZ36" s="426">
        <v>0</v>
      </c>
      <c r="GA36" s="426">
        <v>0</v>
      </c>
      <c r="GB36" s="426">
        <v>0</v>
      </c>
      <c r="GC36" s="426">
        <v>0</v>
      </c>
      <c r="GD36" s="426">
        <v>0</v>
      </c>
      <c r="GE36" s="426">
        <v>0</v>
      </c>
      <c r="GF36" s="426">
        <v>0</v>
      </c>
      <c r="GG36" s="426">
        <v>0</v>
      </c>
      <c r="GH36" s="426">
        <v>0</v>
      </c>
      <c r="GI36" s="426">
        <v>0</v>
      </c>
      <c r="GJ36" s="426">
        <v>0</v>
      </c>
      <c r="GK36" s="426">
        <v>0</v>
      </c>
      <c r="GL36" s="426">
        <v>0</v>
      </c>
      <c r="GM36" s="426">
        <v>0</v>
      </c>
      <c r="GN36" s="426">
        <v>0</v>
      </c>
      <c r="GO36" s="426">
        <v>0</v>
      </c>
      <c r="GP36" s="426">
        <v>0</v>
      </c>
      <c r="GQ36" s="426">
        <v>0</v>
      </c>
      <c r="GR36" s="426">
        <v>0</v>
      </c>
      <c r="GS36" s="426">
        <v>0</v>
      </c>
      <c r="GT36" s="426">
        <v>0</v>
      </c>
      <c r="GU36" s="426">
        <v>0</v>
      </c>
      <c r="GV36" s="426">
        <v>0</v>
      </c>
      <c r="GW36" s="426">
        <v>0</v>
      </c>
      <c r="GX36" s="426">
        <v>0</v>
      </c>
      <c r="GY36" s="426">
        <v>0</v>
      </c>
      <c r="GZ36" s="426">
        <v>0</v>
      </c>
      <c r="HA36" s="426">
        <v>0</v>
      </c>
      <c r="HB36" s="426">
        <v>0</v>
      </c>
      <c r="HC36" s="426">
        <v>0</v>
      </c>
      <c r="HD36" s="426">
        <v>0</v>
      </c>
      <c r="HE36" s="426">
        <v>0</v>
      </c>
      <c r="HF36" s="426">
        <v>0</v>
      </c>
      <c r="HG36" s="426">
        <v>0</v>
      </c>
      <c r="HH36" s="426">
        <v>0</v>
      </c>
      <c r="HI36" s="426">
        <v>0</v>
      </c>
      <c r="HJ36" s="426">
        <v>0</v>
      </c>
      <c r="HK36" s="426">
        <v>0</v>
      </c>
      <c r="HL36" s="426">
        <v>0</v>
      </c>
      <c r="HM36" s="426">
        <v>0</v>
      </c>
      <c r="HN36" s="426">
        <v>0</v>
      </c>
      <c r="HO36" s="426">
        <v>0</v>
      </c>
      <c r="HP36" s="426">
        <v>0</v>
      </c>
      <c r="HQ36" s="426">
        <v>0</v>
      </c>
      <c r="HR36" s="426">
        <v>0</v>
      </c>
      <c r="HS36" s="426">
        <v>0</v>
      </c>
      <c r="HT36" s="426">
        <v>0</v>
      </c>
      <c r="HU36" s="426">
        <v>0</v>
      </c>
      <c r="HV36" s="426">
        <v>0</v>
      </c>
      <c r="HW36" s="426">
        <v>0</v>
      </c>
      <c r="HX36" s="426">
        <v>0</v>
      </c>
      <c r="HY36" s="426">
        <v>0</v>
      </c>
      <c r="HZ36" s="426">
        <v>0</v>
      </c>
      <c r="IA36" s="426">
        <v>0</v>
      </c>
      <c r="IB36" s="426">
        <v>0</v>
      </c>
      <c r="IC36" s="426">
        <v>0</v>
      </c>
      <c r="ID36" s="426">
        <v>0</v>
      </c>
      <c r="IE36" s="426">
        <v>0</v>
      </c>
      <c r="IF36" s="426">
        <v>0</v>
      </c>
      <c r="IG36" s="426">
        <v>0</v>
      </c>
      <c r="IH36" s="426">
        <v>0</v>
      </c>
      <c r="II36" s="426">
        <v>0</v>
      </c>
      <c r="IJ36" s="426">
        <v>0</v>
      </c>
      <c r="IK36" s="426">
        <v>0</v>
      </c>
      <c r="IL36" s="426">
        <v>0</v>
      </c>
      <c r="IM36" s="426">
        <v>0</v>
      </c>
      <c r="IN36" s="426">
        <v>0</v>
      </c>
      <c r="IO36" s="426">
        <v>0</v>
      </c>
      <c r="IP36" s="426">
        <v>0</v>
      </c>
    </row>
    <row r="37" spans="1:250" ht="15">
      <c r="A37" s="357" t="s">
        <v>645</v>
      </c>
      <c r="B37" s="427" t="s">
        <v>776</v>
      </c>
      <c r="C37" s="427"/>
      <c r="D37" s="427"/>
      <c r="E37" s="427"/>
      <c r="F37" s="427">
        <v>2</v>
      </c>
      <c r="G37" s="427"/>
      <c r="H37" s="427">
        <v>52</v>
      </c>
      <c r="I37" s="427"/>
      <c r="J37" t="str">
        <f t="shared" si="0"/>
        <v>CLX100252</v>
      </c>
      <c r="K37" s="427">
        <v>730</v>
      </c>
      <c r="R37" s="357" t="s">
        <v>645</v>
      </c>
      <c r="S37" s="428" t="s">
        <v>776</v>
      </c>
      <c r="T37" s="428">
        <v>2</v>
      </c>
      <c r="U37" s="428">
        <v>52</v>
      </c>
      <c r="V37" s="208" t="str">
        <f t="shared" si="1"/>
        <v>CLX100252</v>
      </c>
      <c r="W37" s="428">
        <v>0</v>
      </c>
      <c r="X37" s="428">
        <v>0</v>
      </c>
      <c r="Y37" s="428">
        <v>0</v>
      </c>
      <c r="Z37" s="428">
        <v>0</v>
      </c>
      <c r="AA37" s="428">
        <v>0</v>
      </c>
      <c r="AB37" s="428">
        <v>0</v>
      </c>
      <c r="AC37" s="428">
        <v>0</v>
      </c>
      <c r="AD37" s="428">
        <v>0</v>
      </c>
      <c r="AE37" s="428">
        <v>0</v>
      </c>
      <c r="AF37" s="428">
        <v>0</v>
      </c>
      <c r="AG37" s="428">
        <v>0</v>
      </c>
      <c r="AH37" s="428">
        <v>0</v>
      </c>
      <c r="AI37" s="428">
        <v>0</v>
      </c>
      <c r="AJ37" s="428">
        <v>0</v>
      </c>
      <c r="AK37" s="428">
        <v>0</v>
      </c>
      <c r="AL37" s="428">
        <v>0</v>
      </c>
      <c r="AM37" s="428">
        <v>0</v>
      </c>
      <c r="AN37" s="428">
        <v>0</v>
      </c>
      <c r="AO37" s="428">
        <v>0</v>
      </c>
      <c r="AP37" s="428">
        <v>0</v>
      </c>
      <c r="AQ37" s="428">
        <v>0</v>
      </c>
      <c r="AR37" s="428">
        <v>0</v>
      </c>
      <c r="AS37" s="428">
        <v>0</v>
      </c>
      <c r="AT37" s="428">
        <v>0</v>
      </c>
      <c r="AU37" s="428">
        <v>0</v>
      </c>
      <c r="AV37" s="428">
        <v>0</v>
      </c>
      <c r="AW37" s="428">
        <v>0</v>
      </c>
      <c r="AX37" s="428">
        <v>0</v>
      </c>
      <c r="AY37" s="428">
        <v>0</v>
      </c>
      <c r="AZ37" s="428">
        <v>0</v>
      </c>
      <c r="BA37" s="428">
        <v>0</v>
      </c>
      <c r="BB37" s="428">
        <v>0</v>
      </c>
      <c r="BC37" s="428">
        <v>0</v>
      </c>
      <c r="BD37" s="428">
        <v>0</v>
      </c>
      <c r="BE37" s="428">
        <v>0</v>
      </c>
      <c r="BF37" s="428">
        <v>0</v>
      </c>
      <c r="BG37" s="428">
        <v>0</v>
      </c>
      <c r="BH37" s="428">
        <v>7738.0000000000009</v>
      </c>
      <c r="BI37" s="428">
        <v>0</v>
      </c>
      <c r="BJ37" s="428">
        <v>0</v>
      </c>
      <c r="BK37" s="428">
        <v>0</v>
      </c>
      <c r="BL37" s="428">
        <v>0</v>
      </c>
      <c r="BM37" s="428">
        <v>0</v>
      </c>
      <c r="BN37" s="428">
        <v>0</v>
      </c>
      <c r="BO37" s="428">
        <v>0</v>
      </c>
      <c r="BP37" s="428">
        <v>0</v>
      </c>
      <c r="BQ37" s="428">
        <v>0</v>
      </c>
      <c r="BR37" s="428">
        <v>0</v>
      </c>
      <c r="BS37" s="428">
        <v>0</v>
      </c>
      <c r="BT37" s="428">
        <v>0</v>
      </c>
      <c r="BU37" s="428">
        <v>0</v>
      </c>
      <c r="BV37" s="428">
        <v>0</v>
      </c>
      <c r="BW37" s="428">
        <v>0</v>
      </c>
      <c r="BX37" s="428">
        <v>0</v>
      </c>
      <c r="BY37" s="428">
        <v>0</v>
      </c>
      <c r="BZ37" s="428">
        <v>0</v>
      </c>
      <c r="CA37" s="428">
        <v>0</v>
      </c>
      <c r="CB37" s="428">
        <v>0</v>
      </c>
      <c r="CC37" s="428">
        <v>0</v>
      </c>
      <c r="CD37" s="428">
        <v>0</v>
      </c>
      <c r="CE37" s="428">
        <v>0</v>
      </c>
      <c r="CF37" s="428">
        <v>0</v>
      </c>
      <c r="CG37" s="428">
        <v>0</v>
      </c>
      <c r="CH37" s="428">
        <v>0</v>
      </c>
      <c r="CI37" s="428">
        <v>0</v>
      </c>
      <c r="CJ37" s="428">
        <v>0</v>
      </c>
      <c r="CK37" s="428">
        <v>0</v>
      </c>
      <c r="CL37" s="428">
        <v>0</v>
      </c>
      <c r="CM37" s="428">
        <v>0</v>
      </c>
      <c r="CN37" s="428">
        <v>0</v>
      </c>
      <c r="CO37" s="428">
        <v>0</v>
      </c>
      <c r="CP37" s="428">
        <v>0</v>
      </c>
      <c r="CQ37" s="428">
        <v>0</v>
      </c>
      <c r="CR37" s="428">
        <v>0</v>
      </c>
      <c r="CS37" s="428">
        <v>0</v>
      </c>
      <c r="CT37" s="428">
        <v>0</v>
      </c>
      <c r="CU37" s="428">
        <v>0</v>
      </c>
      <c r="CV37" s="428">
        <v>0</v>
      </c>
      <c r="CW37" s="428">
        <v>0</v>
      </c>
      <c r="CX37" s="428">
        <v>0</v>
      </c>
      <c r="CY37" s="428">
        <v>0</v>
      </c>
      <c r="CZ37" s="428">
        <v>0</v>
      </c>
      <c r="DA37" s="428">
        <v>0</v>
      </c>
      <c r="DB37" s="428">
        <v>0</v>
      </c>
      <c r="DC37" s="428">
        <v>0</v>
      </c>
      <c r="DD37" s="428">
        <v>0</v>
      </c>
      <c r="DE37" s="428">
        <v>0</v>
      </c>
      <c r="DF37" s="428">
        <v>0</v>
      </c>
      <c r="DG37" s="428">
        <v>0</v>
      </c>
      <c r="DH37" s="428">
        <v>0</v>
      </c>
      <c r="DI37" s="428">
        <v>0</v>
      </c>
      <c r="DJ37" s="428">
        <v>0</v>
      </c>
      <c r="DK37" s="428">
        <v>0</v>
      </c>
      <c r="DL37" s="428">
        <v>0</v>
      </c>
      <c r="DM37" s="428">
        <v>0</v>
      </c>
      <c r="DN37" s="428">
        <v>0</v>
      </c>
      <c r="DO37" s="428">
        <v>0</v>
      </c>
      <c r="DP37" s="428">
        <v>0</v>
      </c>
      <c r="DQ37" s="428">
        <v>0</v>
      </c>
      <c r="DR37" s="428">
        <v>0</v>
      </c>
      <c r="DS37" s="428">
        <v>0</v>
      </c>
      <c r="DT37" s="428">
        <v>0</v>
      </c>
      <c r="DU37" s="428">
        <v>0</v>
      </c>
      <c r="DV37" s="428">
        <v>0</v>
      </c>
      <c r="ED37" s="135"/>
      <c r="EE37" s="357" t="s">
        <v>645</v>
      </c>
      <c r="EF37" s="426" t="s">
        <v>776</v>
      </c>
      <c r="EG37" s="426">
        <v>2</v>
      </c>
      <c r="EH37" s="426">
        <v>52</v>
      </c>
      <c r="EI37" s="208" t="str">
        <f t="shared" si="2"/>
        <v>CLX100252</v>
      </c>
      <c r="EJ37" s="426">
        <v>773.8</v>
      </c>
      <c r="EK37" s="426">
        <v>1547.6</v>
      </c>
      <c r="EL37" s="426">
        <v>2321.4</v>
      </c>
      <c r="EM37" s="426">
        <v>3095.2</v>
      </c>
      <c r="EN37" s="426">
        <v>3869</v>
      </c>
      <c r="EO37" s="426">
        <v>4642.8</v>
      </c>
      <c r="EP37" s="426">
        <v>5416.6</v>
      </c>
      <c r="EQ37" s="426">
        <v>6190.4</v>
      </c>
      <c r="ER37" s="426">
        <v>6964.2</v>
      </c>
      <c r="ES37" s="426">
        <v>7738</v>
      </c>
      <c r="ET37" s="426">
        <v>7738</v>
      </c>
      <c r="EU37" s="426">
        <v>7738</v>
      </c>
      <c r="EV37" s="426">
        <v>7738</v>
      </c>
      <c r="EW37" s="426">
        <v>7738</v>
      </c>
      <c r="EX37" s="426">
        <v>7738</v>
      </c>
      <c r="EY37" s="426">
        <v>7738</v>
      </c>
      <c r="EZ37" s="426">
        <v>7738</v>
      </c>
      <c r="FA37" s="426">
        <v>7738</v>
      </c>
      <c r="FB37" s="426">
        <v>7738</v>
      </c>
      <c r="FC37" s="426">
        <v>7738</v>
      </c>
      <c r="FD37" s="426">
        <v>7738</v>
      </c>
      <c r="FE37" s="426">
        <v>7738</v>
      </c>
      <c r="FF37" s="426">
        <v>7738</v>
      </c>
      <c r="FG37" s="426">
        <v>7738</v>
      </c>
      <c r="FH37" s="426">
        <v>7738</v>
      </c>
      <c r="FI37" s="426">
        <v>7738</v>
      </c>
      <c r="FJ37" s="426">
        <v>7738</v>
      </c>
      <c r="FK37" s="426">
        <v>7738</v>
      </c>
      <c r="FL37" s="426">
        <v>7738</v>
      </c>
      <c r="FM37" s="426">
        <v>7738</v>
      </c>
      <c r="FN37" s="426">
        <v>7738</v>
      </c>
      <c r="FO37" s="426">
        <v>7738</v>
      </c>
      <c r="FP37" s="426">
        <v>7738</v>
      </c>
      <c r="FQ37" s="426">
        <v>7738</v>
      </c>
      <c r="FR37" s="426">
        <v>7738</v>
      </c>
      <c r="FS37" s="426">
        <v>7738</v>
      </c>
      <c r="FT37" s="426">
        <v>7738</v>
      </c>
      <c r="FU37" s="426">
        <v>7738</v>
      </c>
      <c r="FV37" s="426">
        <v>0</v>
      </c>
      <c r="FW37" s="426">
        <v>0</v>
      </c>
      <c r="FX37" s="426">
        <v>0</v>
      </c>
      <c r="FY37" s="426">
        <v>0</v>
      </c>
      <c r="FZ37" s="426">
        <v>0</v>
      </c>
      <c r="GA37" s="426">
        <v>0</v>
      </c>
      <c r="GB37" s="426">
        <v>0</v>
      </c>
      <c r="GC37" s="426">
        <v>0</v>
      </c>
      <c r="GD37" s="426">
        <v>0</v>
      </c>
      <c r="GE37" s="426">
        <v>0</v>
      </c>
      <c r="GF37" s="426">
        <v>0</v>
      </c>
      <c r="GG37" s="426">
        <v>0</v>
      </c>
      <c r="GH37" s="426">
        <v>0</v>
      </c>
      <c r="GI37" s="426">
        <v>0</v>
      </c>
      <c r="GJ37" s="426">
        <v>0</v>
      </c>
      <c r="GK37" s="426">
        <v>0</v>
      </c>
      <c r="GL37" s="426">
        <v>0</v>
      </c>
      <c r="GM37" s="426">
        <v>0</v>
      </c>
      <c r="GN37" s="426">
        <v>0</v>
      </c>
      <c r="GO37" s="426">
        <v>0</v>
      </c>
      <c r="GP37" s="426">
        <v>0</v>
      </c>
      <c r="GQ37" s="426">
        <v>0</v>
      </c>
      <c r="GR37" s="426">
        <v>0</v>
      </c>
      <c r="GS37" s="426">
        <v>0</v>
      </c>
      <c r="GT37" s="426">
        <v>0</v>
      </c>
      <c r="GU37" s="426">
        <v>0</v>
      </c>
      <c r="GV37" s="426">
        <v>0</v>
      </c>
      <c r="GW37" s="426">
        <v>0</v>
      </c>
      <c r="GX37" s="426">
        <v>0</v>
      </c>
      <c r="GY37" s="426">
        <v>0</v>
      </c>
      <c r="GZ37" s="426">
        <v>0</v>
      </c>
      <c r="HA37" s="426">
        <v>0</v>
      </c>
      <c r="HB37" s="426">
        <v>0</v>
      </c>
      <c r="HC37" s="426">
        <v>0</v>
      </c>
      <c r="HD37" s="426">
        <v>0</v>
      </c>
      <c r="HE37" s="426">
        <v>0</v>
      </c>
      <c r="HF37" s="426">
        <v>0</v>
      </c>
      <c r="HG37" s="426">
        <v>0</v>
      </c>
      <c r="HH37" s="426">
        <v>0</v>
      </c>
      <c r="HI37" s="426">
        <v>0</v>
      </c>
      <c r="HJ37" s="426">
        <v>0</v>
      </c>
      <c r="HK37" s="426">
        <v>0</v>
      </c>
      <c r="HL37" s="426">
        <v>0</v>
      </c>
      <c r="HM37" s="426">
        <v>0</v>
      </c>
      <c r="HN37" s="426">
        <v>0</v>
      </c>
      <c r="HO37" s="426">
        <v>0</v>
      </c>
      <c r="HP37" s="426">
        <v>0</v>
      </c>
      <c r="HQ37" s="426">
        <v>0</v>
      </c>
      <c r="HR37" s="426">
        <v>0</v>
      </c>
      <c r="HS37" s="426">
        <v>0</v>
      </c>
      <c r="HT37" s="426">
        <v>0</v>
      </c>
      <c r="HU37" s="426">
        <v>0</v>
      </c>
      <c r="HV37" s="426">
        <v>0</v>
      </c>
      <c r="HW37" s="426">
        <v>0</v>
      </c>
      <c r="HX37" s="426">
        <v>0</v>
      </c>
      <c r="HY37" s="426">
        <v>0</v>
      </c>
      <c r="HZ37" s="426">
        <v>0</v>
      </c>
      <c r="IA37" s="426">
        <v>0</v>
      </c>
      <c r="IB37" s="426">
        <v>0</v>
      </c>
      <c r="IC37" s="426">
        <v>0</v>
      </c>
      <c r="ID37" s="426">
        <v>0</v>
      </c>
      <c r="IE37" s="426">
        <v>0</v>
      </c>
      <c r="IF37" s="426">
        <v>0</v>
      </c>
      <c r="IG37" s="426">
        <v>0</v>
      </c>
      <c r="IH37" s="426">
        <v>0</v>
      </c>
      <c r="II37" s="426">
        <v>0</v>
      </c>
      <c r="IJ37" s="426">
        <v>0</v>
      </c>
      <c r="IK37" s="426">
        <v>0</v>
      </c>
      <c r="IL37" s="426">
        <v>0</v>
      </c>
      <c r="IM37" s="426">
        <v>0</v>
      </c>
      <c r="IN37" s="426">
        <v>0</v>
      </c>
      <c r="IO37" s="426">
        <v>0</v>
      </c>
      <c r="IP37" s="426">
        <v>0</v>
      </c>
    </row>
    <row r="38" spans="1:250" ht="15">
      <c r="A38" s="357" t="s">
        <v>645</v>
      </c>
      <c r="B38" s="427" t="s">
        <v>776</v>
      </c>
      <c r="C38" s="427"/>
      <c r="D38" s="427"/>
      <c r="E38" s="427"/>
      <c r="F38" s="427">
        <v>2</v>
      </c>
      <c r="G38" s="427"/>
      <c r="H38" s="427">
        <v>53</v>
      </c>
      <c r="I38" s="427"/>
      <c r="J38" t="str">
        <f t="shared" si="0"/>
        <v>CLX100253</v>
      </c>
      <c r="K38" s="427">
        <v>740</v>
      </c>
      <c r="R38" s="357" t="s">
        <v>645</v>
      </c>
      <c r="S38" s="428" t="s">
        <v>776</v>
      </c>
      <c r="T38" s="428">
        <v>2</v>
      </c>
      <c r="U38" s="428">
        <v>53</v>
      </c>
      <c r="V38" s="208" t="str">
        <f t="shared" si="1"/>
        <v>CLX100253</v>
      </c>
      <c r="W38" s="428">
        <v>0</v>
      </c>
      <c r="X38" s="428">
        <v>0</v>
      </c>
      <c r="Y38" s="428">
        <v>0</v>
      </c>
      <c r="Z38" s="428">
        <v>0</v>
      </c>
      <c r="AA38" s="428">
        <v>0</v>
      </c>
      <c r="AB38" s="428">
        <v>0</v>
      </c>
      <c r="AC38" s="428">
        <v>0</v>
      </c>
      <c r="AD38" s="428">
        <v>0</v>
      </c>
      <c r="AE38" s="428">
        <v>0</v>
      </c>
      <c r="AF38" s="428">
        <v>0</v>
      </c>
      <c r="AG38" s="428">
        <v>0</v>
      </c>
      <c r="AH38" s="428">
        <v>0</v>
      </c>
      <c r="AI38" s="428">
        <v>0</v>
      </c>
      <c r="AJ38" s="428">
        <v>0</v>
      </c>
      <c r="AK38" s="428">
        <v>0</v>
      </c>
      <c r="AL38" s="428">
        <v>0</v>
      </c>
      <c r="AM38" s="428">
        <v>0</v>
      </c>
      <c r="AN38" s="428">
        <v>0</v>
      </c>
      <c r="AO38" s="428">
        <v>0</v>
      </c>
      <c r="AP38" s="428">
        <v>0</v>
      </c>
      <c r="AQ38" s="428">
        <v>0</v>
      </c>
      <c r="AR38" s="428">
        <v>0</v>
      </c>
      <c r="AS38" s="428">
        <v>0</v>
      </c>
      <c r="AT38" s="428">
        <v>0</v>
      </c>
      <c r="AU38" s="428">
        <v>0</v>
      </c>
      <c r="AV38" s="428">
        <v>0</v>
      </c>
      <c r="AW38" s="428">
        <v>0</v>
      </c>
      <c r="AX38" s="428">
        <v>0</v>
      </c>
      <c r="AY38" s="428">
        <v>0</v>
      </c>
      <c r="AZ38" s="428">
        <v>0</v>
      </c>
      <c r="BA38" s="428">
        <v>0</v>
      </c>
      <c r="BB38" s="428">
        <v>0</v>
      </c>
      <c r="BC38" s="428">
        <v>0</v>
      </c>
      <c r="BD38" s="428">
        <v>0</v>
      </c>
      <c r="BE38" s="428">
        <v>0</v>
      </c>
      <c r="BF38" s="428">
        <v>0</v>
      </c>
      <c r="BG38" s="428">
        <v>7844.0000000000009</v>
      </c>
      <c r="BH38" s="428">
        <v>0</v>
      </c>
      <c r="BI38" s="428">
        <v>0</v>
      </c>
      <c r="BJ38" s="428">
        <v>0</v>
      </c>
      <c r="BK38" s="428">
        <v>0</v>
      </c>
      <c r="BL38" s="428">
        <v>0</v>
      </c>
      <c r="BM38" s="428">
        <v>0</v>
      </c>
      <c r="BN38" s="428">
        <v>0</v>
      </c>
      <c r="BO38" s="428">
        <v>0</v>
      </c>
      <c r="BP38" s="428">
        <v>0</v>
      </c>
      <c r="BQ38" s="428">
        <v>0</v>
      </c>
      <c r="BR38" s="428">
        <v>0</v>
      </c>
      <c r="BS38" s="428">
        <v>0</v>
      </c>
      <c r="BT38" s="428">
        <v>0</v>
      </c>
      <c r="BU38" s="428">
        <v>0</v>
      </c>
      <c r="BV38" s="428">
        <v>0</v>
      </c>
      <c r="BW38" s="428">
        <v>0</v>
      </c>
      <c r="BX38" s="428">
        <v>0</v>
      </c>
      <c r="BY38" s="428">
        <v>0</v>
      </c>
      <c r="BZ38" s="428">
        <v>0</v>
      </c>
      <c r="CA38" s="428">
        <v>0</v>
      </c>
      <c r="CB38" s="428">
        <v>0</v>
      </c>
      <c r="CC38" s="428">
        <v>0</v>
      </c>
      <c r="CD38" s="428">
        <v>0</v>
      </c>
      <c r="CE38" s="428">
        <v>0</v>
      </c>
      <c r="CF38" s="428">
        <v>0</v>
      </c>
      <c r="CG38" s="428">
        <v>0</v>
      </c>
      <c r="CH38" s="428">
        <v>0</v>
      </c>
      <c r="CI38" s="428">
        <v>0</v>
      </c>
      <c r="CJ38" s="428">
        <v>0</v>
      </c>
      <c r="CK38" s="428">
        <v>0</v>
      </c>
      <c r="CL38" s="428">
        <v>0</v>
      </c>
      <c r="CM38" s="428">
        <v>0</v>
      </c>
      <c r="CN38" s="428">
        <v>0</v>
      </c>
      <c r="CO38" s="428">
        <v>0</v>
      </c>
      <c r="CP38" s="428">
        <v>0</v>
      </c>
      <c r="CQ38" s="428">
        <v>0</v>
      </c>
      <c r="CR38" s="428">
        <v>0</v>
      </c>
      <c r="CS38" s="428">
        <v>0</v>
      </c>
      <c r="CT38" s="428">
        <v>0</v>
      </c>
      <c r="CU38" s="428">
        <v>0</v>
      </c>
      <c r="CV38" s="428">
        <v>0</v>
      </c>
      <c r="CW38" s="428">
        <v>0</v>
      </c>
      <c r="CX38" s="428">
        <v>0</v>
      </c>
      <c r="CY38" s="428">
        <v>0</v>
      </c>
      <c r="CZ38" s="428">
        <v>0</v>
      </c>
      <c r="DA38" s="428">
        <v>0</v>
      </c>
      <c r="DB38" s="428">
        <v>0</v>
      </c>
      <c r="DC38" s="428">
        <v>0</v>
      </c>
      <c r="DD38" s="428">
        <v>0</v>
      </c>
      <c r="DE38" s="428">
        <v>0</v>
      </c>
      <c r="DF38" s="428">
        <v>0</v>
      </c>
      <c r="DG38" s="428">
        <v>0</v>
      </c>
      <c r="DH38" s="428">
        <v>0</v>
      </c>
      <c r="DI38" s="428">
        <v>0</v>
      </c>
      <c r="DJ38" s="428">
        <v>0</v>
      </c>
      <c r="DK38" s="428">
        <v>0</v>
      </c>
      <c r="DL38" s="428">
        <v>0</v>
      </c>
      <c r="DM38" s="428">
        <v>0</v>
      </c>
      <c r="DN38" s="428">
        <v>0</v>
      </c>
      <c r="DO38" s="428">
        <v>0</v>
      </c>
      <c r="DP38" s="428">
        <v>0</v>
      </c>
      <c r="DQ38" s="428">
        <v>0</v>
      </c>
      <c r="DR38" s="428">
        <v>0</v>
      </c>
      <c r="DS38" s="428">
        <v>0</v>
      </c>
      <c r="DT38" s="428">
        <v>0</v>
      </c>
      <c r="DU38" s="428">
        <v>0</v>
      </c>
      <c r="DV38" s="428">
        <v>0</v>
      </c>
      <c r="ED38" s="135"/>
      <c r="EE38" s="357" t="s">
        <v>645</v>
      </c>
      <c r="EF38" s="426" t="s">
        <v>776</v>
      </c>
      <c r="EG38" s="426">
        <v>2</v>
      </c>
      <c r="EH38" s="426">
        <v>53</v>
      </c>
      <c r="EI38" s="208" t="str">
        <f t="shared" si="2"/>
        <v>CLX100253</v>
      </c>
      <c r="EJ38" s="426">
        <v>784.4</v>
      </c>
      <c r="EK38" s="426">
        <v>1568.8</v>
      </c>
      <c r="EL38" s="426">
        <v>2353.1999999999998</v>
      </c>
      <c r="EM38" s="426">
        <v>3137.6</v>
      </c>
      <c r="EN38" s="426">
        <v>3922</v>
      </c>
      <c r="EO38" s="426">
        <v>4706.3999999999996</v>
      </c>
      <c r="EP38" s="426">
        <v>5490.8</v>
      </c>
      <c r="EQ38" s="426">
        <v>6275.2</v>
      </c>
      <c r="ER38" s="426">
        <v>7059.6</v>
      </c>
      <c r="ES38" s="426">
        <v>7844</v>
      </c>
      <c r="ET38" s="426">
        <v>7844</v>
      </c>
      <c r="EU38" s="426">
        <v>7844</v>
      </c>
      <c r="EV38" s="426">
        <v>7844</v>
      </c>
      <c r="EW38" s="426">
        <v>7844</v>
      </c>
      <c r="EX38" s="426">
        <v>7844</v>
      </c>
      <c r="EY38" s="426">
        <v>7844</v>
      </c>
      <c r="EZ38" s="426">
        <v>7844</v>
      </c>
      <c r="FA38" s="426">
        <v>7844</v>
      </c>
      <c r="FB38" s="426">
        <v>7844</v>
      </c>
      <c r="FC38" s="426">
        <v>7844</v>
      </c>
      <c r="FD38" s="426">
        <v>7844</v>
      </c>
      <c r="FE38" s="426">
        <v>7844</v>
      </c>
      <c r="FF38" s="426">
        <v>7844</v>
      </c>
      <c r="FG38" s="426">
        <v>7844</v>
      </c>
      <c r="FH38" s="426">
        <v>7844</v>
      </c>
      <c r="FI38" s="426">
        <v>7844</v>
      </c>
      <c r="FJ38" s="426">
        <v>7844</v>
      </c>
      <c r="FK38" s="426">
        <v>7844</v>
      </c>
      <c r="FL38" s="426">
        <v>7844</v>
      </c>
      <c r="FM38" s="426">
        <v>7844</v>
      </c>
      <c r="FN38" s="426">
        <v>7844</v>
      </c>
      <c r="FO38" s="426">
        <v>7844</v>
      </c>
      <c r="FP38" s="426">
        <v>7844</v>
      </c>
      <c r="FQ38" s="426">
        <v>7844</v>
      </c>
      <c r="FR38" s="426">
        <v>7844</v>
      </c>
      <c r="FS38" s="426">
        <v>7844</v>
      </c>
      <c r="FT38" s="426">
        <v>7844</v>
      </c>
      <c r="FU38" s="426">
        <v>0</v>
      </c>
      <c r="FV38" s="426">
        <v>0</v>
      </c>
      <c r="FW38" s="426">
        <v>0</v>
      </c>
      <c r="FX38" s="426">
        <v>0</v>
      </c>
      <c r="FY38" s="426">
        <v>0</v>
      </c>
      <c r="FZ38" s="426">
        <v>0</v>
      </c>
      <c r="GA38" s="426">
        <v>0</v>
      </c>
      <c r="GB38" s="426">
        <v>0</v>
      </c>
      <c r="GC38" s="426">
        <v>0</v>
      </c>
      <c r="GD38" s="426">
        <v>0</v>
      </c>
      <c r="GE38" s="426">
        <v>0</v>
      </c>
      <c r="GF38" s="426">
        <v>0</v>
      </c>
      <c r="GG38" s="426">
        <v>0</v>
      </c>
      <c r="GH38" s="426">
        <v>0</v>
      </c>
      <c r="GI38" s="426">
        <v>0</v>
      </c>
      <c r="GJ38" s="426">
        <v>0</v>
      </c>
      <c r="GK38" s="426">
        <v>0</v>
      </c>
      <c r="GL38" s="426">
        <v>0</v>
      </c>
      <c r="GM38" s="426">
        <v>0</v>
      </c>
      <c r="GN38" s="426">
        <v>0</v>
      </c>
      <c r="GO38" s="426">
        <v>0</v>
      </c>
      <c r="GP38" s="426">
        <v>0</v>
      </c>
      <c r="GQ38" s="426">
        <v>0</v>
      </c>
      <c r="GR38" s="426">
        <v>0</v>
      </c>
      <c r="GS38" s="426">
        <v>0</v>
      </c>
      <c r="GT38" s="426">
        <v>0</v>
      </c>
      <c r="GU38" s="426">
        <v>0</v>
      </c>
      <c r="GV38" s="426">
        <v>0</v>
      </c>
      <c r="GW38" s="426">
        <v>0</v>
      </c>
      <c r="GX38" s="426">
        <v>0</v>
      </c>
      <c r="GY38" s="426">
        <v>0</v>
      </c>
      <c r="GZ38" s="426">
        <v>0</v>
      </c>
      <c r="HA38" s="426">
        <v>0</v>
      </c>
      <c r="HB38" s="426">
        <v>0</v>
      </c>
      <c r="HC38" s="426">
        <v>0</v>
      </c>
      <c r="HD38" s="426">
        <v>0</v>
      </c>
      <c r="HE38" s="426">
        <v>0</v>
      </c>
      <c r="HF38" s="426">
        <v>0</v>
      </c>
      <c r="HG38" s="426">
        <v>0</v>
      </c>
      <c r="HH38" s="426">
        <v>0</v>
      </c>
      <c r="HI38" s="426">
        <v>0</v>
      </c>
      <c r="HJ38" s="426">
        <v>0</v>
      </c>
      <c r="HK38" s="426">
        <v>0</v>
      </c>
      <c r="HL38" s="426">
        <v>0</v>
      </c>
      <c r="HM38" s="426">
        <v>0</v>
      </c>
      <c r="HN38" s="426">
        <v>0</v>
      </c>
      <c r="HO38" s="426">
        <v>0</v>
      </c>
      <c r="HP38" s="426">
        <v>0</v>
      </c>
      <c r="HQ38" s="426">
        <v>0</v>
      </c>
      <c r="HR38" s="426">
        <v>0</v>
      </c>
      <c r="HS38" s="426">
        <v>0</v>
      </c>
      <c r="HT38" s="426">
        <v>0</v>
      </c>
      <c r="HU38" s="426">
        <v>0</v>
      </c>
      <c r="HV38" s="426">
        <v>0</v>
      </c>
      <c r="HW38" s="426">
        <v>0</v>
      </c>
      <c r="HX38" s="426">
        <v>0</v>
      </c>
      <c r="HY38" s="426">
        <v>0</v>
      </c>
      <c r="HZ38" s="426">
        <v>0</v>
      </c>
      <c r="IA38" s="426">
        <v>0</v>
      </c>
      <c r="IB38" s="426">
        <v>0</v>
      </c>
      <c r="IC38" s="426">
        <v>0</v>
      </c>
      <c r="ID38" s="426">
        <v>0</v>
      </c>
      <c r="IE38" s="426">
        <v>0</v>
      </c>
      <c r="IF38" s="426">
        <v>0</v>
      </c>
      <c r="IG38" s="426">
        <v>0</v>
      </c>
      <c r="IH38" s="426">
        <v>0</v>
      </c>
      <c r="II38" s="426">
        <v>0</v>
      </c>
      <c r="IJ38" s="426">
        <v>0</v>
      </c>
      <c r="IK38" s="426">
        <v>0</v>
      </c>
      <c r="IL38" s="426">
        <v>0</v>
      </c>
      <c r="IM38" s="426">
        <v>0</v>
      </c>
      <c r="IN38" s="426">
        <v>0</v>
      </c>
      <c r="IO38" s="426">
        <v>0</v>
      </c>
      <c r="IP38" s="426">
        <v>0</v>
      </c>
    </row>
    <row r="39" spans="1:250" ht="15">
      <c r="A39" s="357" t="s">
        <v>645</v>
      </c>
      <c r="B39" s="427" t="s">
        <v>776</v>
      </c>
      <c r="C39" s="427"/>
      <c r="D39" s="427"/>
      <c r="E39" s="427"/>
      <c r="F39" s="427">
        <v>2</v>
      </c>
      <c r="G39" s="427"/>
      <c r="H39" s="427">
        <v>54</v>
      </c>
      <c r="I39" s="427"/>
      <c r="J39" t="str">
        <f t="shared" si="0"/>
        <v>CLX100254</v>
      </c>
      <c r="K39" s="427">
        <v>755</v>
      </c>
      <c r="R39" s="357" t="s">
        <v>645</v>
      </c>
      <c r="S39" s="428" t="s">
        <v>776</v>
      </c>
      <c r="T39" s="428">
        <v>2</v>
      </c>
      <c r="U39" s="428">
        <v>54</v>
      </c>
      <c r="V39" s="208" t="str">
        <f t="shared" si="1"/>
        <v>CLX100254</v>
      </c>
      <c r="W39" s="428">
        <v>0</v>
      </c>
      <c r="X39" s="428">
        <v>0</v>
      </c>
      <c r="Y39" s="428">
        <v>0</v>
      </c>
      <c r="Z39" s="428">
        <v>0</v>
      </c>
      <c r="AA39" s="428">
        <v>0</v>
      </c>
      <c r="AB39" s="428">
        <v>0</v>
      </c>
      <c r="AC39" s="428">
        <v>0</v>
      </c>
      <c r="AD39" s="428">
        <v>0</v>
      </c>
      <c r="AE39" s="428">
        <v>0</v>
      </c>
      <c r="AF39" s="428">
        <v>0</v>
      </c>
      <c r="AG39" s="428">
        <v>0</v>
      </c>
      <c r="AH39" s="428">
        <v>0</v>
      </c>
      <c r="AI39" s="428">
        <v>0</v>
      </c>
      <c r="AJ39" s="428">
        <v>0</v>
      </c>
      <c r="AK39" s="428">
        <v>0</v>
      </c>
      <c r="AL39" s="428">
        <v>0</v>
      </c>
      <c r="AM39" s="428">
        <v>0</v>
      </c>
      <c r="AN39" s="428">
        <v>0</v>
      </c>
      <c r="AO39" s="428">
        <v>0</v>
      </c>
      <c r="AP39" s="428">
        <v>0</v>
      </c>
      <c r="AQ39" s="428">
        <v>0</v>
      </c>
      <c r="AR39" s="428">
        <v>0</v>
      </c>
      <c r="AS39" s="428">
        <v>0</v>
      </c>
      <c r="AT39" s="428">
        <v>0</v>
      </c>
      <c r="AU39" s="428">
        <v>0</v>
      </c>
      <c r="AV39" s="428">
        <v>0</v>
      </c>
      <c r="AW39" s="428">
        <v>0</v>
      </c>
      <c r="AX39" s="428">
        <v>0</v>
      </c>
      <c r="AY39" s="428">
        <v>0</v>
      </c>
      <c r="AZ39" s="428">
        <v>0</v>
      </c>
      <c r="BA39" s="428">
        <v>0</v>
      </c>
      <c r="BB39" s="428">
        <v>0</v>
      </c>
      <c r="BC39" s="428">
        <v>0</v>
      </c>
      <c r="BD39" s="428">
        <v>0</v>
      </c>
      <c r="BE39" s="428">
        <v>0</v>
      </c>
      <c r="BF39" s="428">
        <v>8003.0000000000009</v>
      </c>
      <c r="BG39" s="428">
        <v>0</v>
      </c>
      <c r="BH39" s="428">
        <v>0</v>
      </c>
      <c r="BI39" s="428">
        <v>0</v>
      </c>
      <c r="BJ39" s="428">
        <v>0</v>
      </c>
      <c r="BK39" s="428">
        <v>0</v>
      </c>
      <c r="BL39" s="428">
        <v>0</v>
      </c>
      <c r="BM39" s="428">
        <v>0</v>
      </c>
      <c r="BN39" s="428">
        <v>0</v>
      </c>
      <c r="BO39" s="428">
        <v>0</v>
      </c>
      <c r="BP39" s="428">
        <v>0</v>
      </c>
      <c r="BQ39" s="428">
        <v>0</v>
      </c>
      <c r="BR39" s="428">
        <v>0</v>
      </c>
      <c r="BS39" s="428">
        <v>0</v>
      </c>
      <c r="BT39" s="428">
        <v>0</v>
      </c>
      <c r="BU39" s="428">
        <v>0</v>
      </c>
      <c r="BV39" s="428">
        <v>0</v>
      </c>
      <c r="BW39" s="428">
        <v>0</v>
      </c>
      <c r="BX39" s="428">
        <v>0</v>
      </c>
      <c r="BY39" s="428">
        <v>0</v>
      </c>
      <c r="BZ39" s="428">
        <v>0</v>
      </c>
      <c r="CA39" s="428">
        <v>0</v>
      </c>
      <c r="CB39" s="428">
        <v>0</v>
      </c>
      <c r="CC39" s="428">
        <v>0</v>
      </c>
      <c r="CD39" s="428">
        <v>0</v>
      </c>
      <c r="CE39" s="428">
        <v>0</v>
      </c>
      <c r="CF39" s="428">
        <v>0</v>
      </c>
      <c r="CG39" s="428">
        <v>0</v>
      </c>
      <c r="CH39" s="428">
        <v>0</v>
      </c>
      <c r="CI39" s="428">
        <v>0</v>
      </c>
      <c r="CJ39" s="428">
        <v>0</v>
      </c>
      <c r="CK39" s="428">
        <v>0</v>
      </c>
      <c r="CL39" s="428">
        <v>0</v>
      </c>
      <c r="CM39" s="428">
        <v>0</v>
      </c>
      <c r="CN39" s="428">
        <v>0</v>
      </c>
      <c r="CO39" s="428">
        <v>0</v>
      </c>
      <c r="CP39" s="428">
        <v>0</v>
      </c>
      <c r="CQ39" s="428">
        <v>0</v>
      </c>
      <c r="CR39" s="428">
        <v>0</v>
      </c>
      <c r="CS39" s="428">
        <v>0</v>
      </c>
      <c r="CT39" s="428">
        <v>0</v>
      </c>
      <c r="CU39" s="428">
        <v>0</v>
      </c>
      <c r="CV39" s="428">
        <v>0</v>
      </c>
      <c r="CW39" s="428">
        <v>0</v>
      </c>
      <c r="CX39" s="428">
        <v>0</v>
      </c>
      <c r="CY39" s="428">
        <v>0</v>
      </c>
      <c r="CZ39" s="428">
        <v>0</v>
      </c>
      <c r="DA39" s="428">
        <v>0</v>
      </c>
      <c r="DB39" s="428">
        <v>0</v>
      </c>
      <c r="DC39" s="428">
        <v>0</v>
      </c>
      <c r="DD39" s="428">
        <v>0</v>
      </c>
      <c r="DE39" s="428">
        <v>0</v>
      </c>
      <c r="DF39" s="428">
        <v>0</v>
      </c>
      <c r="DG39" s="428">
        <v>0</v>
      </c>
      <c r="DH39" s="428">
        <v>0</v>
      </c>
      <c r="DI39" s="428">
        <v>0</v>
      </c>
      <c r="DJ39" s="428">
        <v>0</v>
      </c>
      <c r="DK39" s="428">
        <v>0</v>
      </c>
      <c r="DL39" s="428">
        <v>0</v>
      </c>
      <c r="DM39" s="428">
        <v>0</v>
      </c>
      <c r="DN39" s="428">
        <v>0</v>
      </c>
      <c r="DO39" s="428">
        <v>0</v>
      </c>
      <c r="DP39" s="428">
        <v>0</v>
      </c>
      <c r="DQ39" s="428">
        <v>0</v>
      </c>
      <c r="DR39" s="428">
        <v>0</v>
      </c>
      <c r="DS39" s="428">
        <v>0</v>
      </c>
      <c r="DT39" s="428">
        <v>0</v>
      </c>
      <c r="DU39" s="428">
        <v>0</v>
      </c>
      <c r="DV39" s="428">
        <v>0</v>
      </c>
      <c r="ED39" s="135"/>
      <c r="EE39" s="357" t="s">
        <v>645</v>
      </c>
      <c r="EF39" s="426" t="s">
        <v>776</v>
      </c>
      <c r="EG39" s="426">
        <v>2</v>
      </c>
      <c r="EH39" s="426">
        <v>54</v>
      </c>
      <c r="EI39" s="208" t="str">
        <f t="shared" si="2"/>
        <v>CLX100254</v>
      </c>
      <c r="EJ39" s="426">
        <v>800.3</v>
      </c>
      <c r="EK39" s="426">
        <v>1600.6</v>
      </c>
      <c r="EL39" s="426">
        <v>2400.9</v>
      </c>
      <c r="EM39" s="426">
        <v>3201.2</v>
      </c>
      <c r="EN39" s="426">
        <v>4001.5</v>
      </c>
      <c r="EO39" s="426">
        <v>4801.8</v>
      </c>
      <c r="EP39" s="426">
        <v>5602.1</v>
      </c>
      <c r="EQ39" s="426">
        <v>6402.4</v>
      </c>
      <c r="ER39" s="426">
        <v>7202.7</v>
      </c>
      <c r="ES39" s="426">
        <v>8003</v>
      </c>
      <c r="ET39" s="426">
        <v>8003</v>
      </c>
      <c r="EU39" s="426">
        <v>8003</v>
      </c>
      <c r="EV39" s="426">
        <v>8003</v>
      </c>
      <c r="EW39" s="426">
        <v>8003</v>
      </c>
      <c r="EX39" s="426">
        <v>8003</v>
      </c>
      <c r="EY39" s="426">
        <v>8003</v>
      </c>
      <c r="EZ39" s="426">
        <v>8003</v>
      </c>
      <c r="FA39" s="426">
        <v>8003</v>
      </c>
      <c r="FB39" s="426">
        <v>8003</v>
      </c>
      <c r="FC39" s="426">
        <v>8003</v>
      </c>
      <c r="FD39" s="426">
        <v>8003</v>
      </c>
      <c r="FE39" s="426">
        <v>8003</v>
      </c>
      <c r="FF39" s="426">
        <v>8003</v>
      </c>
      <c r="FG39" s="426">
        <v>8003</v>
      </c>
      <c r="FH39" s="426">
        <v>8003</v>
      </c>
      <c r="FI39" s="426">
        <v>8003</v>
      </c>
      <c r="FJ39" s="426">
        <v>8003</v>
      </c>
      <c r="FK39" s="426">
        <v>8003</v>
      </c>
      <c r="FL39" s="426">
        <v>8003</v>
      </c>
      <c r="FM39" s="426">
        <v>8003</v>
      </c>
      <c r="FN39" s="426">
        <v>8003</v>
      </c>
      <c r="FO39" s="426">
        <v>8003</v>
      </c>
      <c r="FP39" s="426">
        <v>8003</v>
      </c>
      <c r="FQ39" s="426">
        <v>8003</v>
      </c>
      <c r="FR39" s="426">
        <v>8003</v>
      </c>
      <c r="FS39" s="426">
        <v>8003</v>
      </c>
      <c r="FT39" s="426">
        <v>0</v>
      </c>
      <c r="FU39" s="426">
        <v>0</v>
      </c>
      <c r="FV39" s="426">
        <v>0</v>
      </c>
      <c r="FW39" s="426">
        <v>0</v>
      </c>
      <c r="FX39" s="426">
        <v>0</v>
      </c>
      <c r="FY39" s="426">
        <v>0</v>
      </c>
      <c r="FZ39" s="426">
        <v>0</v>
      </c>
      <c r="GA39" s="426">
        <v>0</v>
      </c>
      <c r="GB39" s="426">
        <v>0</v>
      </c>
      <c r="GC39" s="426">
        <v>0</v>
      </c>
      <c r="GD39" s="426">
        <v>0</v>
      </c>
      <c r="GE39" s="426">
        <v>0</v>
      </c>
      <c r="GF39" s="426">
        <v>0</v>
      </c>
      <c r="GG39" s="426">
        <v>0</v>
      </c>
      <c r="GH39" s="426">
        <v>0</v>
      </c>
      <c r="GI39" s="426">
        <v>0</v>
      </c>
      <c r="GJ39" s="426">
        <v>0</v>
      </c>
      <c r="GK39" s="426">
        <v>0</v>
      </c>
      <c r="GL39" s="426">
        <v>0</v>
      </c>
      <c r="GM39" s="426">
        <v>0</v>
      </c>
      <c r="GN39" s="426">
        <v>0</v>
      </c>
      <c r="GO39" s="426">
        <v>0</v>
      </c>
      <c r="GP39" s="426">
        <v>0</v>
      </c>
      <c r="GQ39" s="426">
        <v>0</v>
      </c>
      <c r="GR39" s="426">
        <v>0</v>
      </c>
      <c r="GS39" s="426">
        <v>0</v>
      </c>
      <c r="GT39" s="426">
        <v>0</v>
      </c>
      <c r="GU39" s="426">
        <v>0</v>
      </c>
      <c r="GV39" s="426">
        <v>0</v>
      </c>
      <c r="GW39" s="426">
        <v>0</v>
      </c>
      <c r="GX39" s="426">
        <v>0</v>
      </c>
      <c r="GY39" s="426">
        <v>0</v>
      </c>
      <c r="GZ39" s="426">
        <v>0</v>
      </c>
      <c r="HA39" s="426">
        <v>0</v>
      </c>
      <c r="HB39" s="426">
        <v>0</v>
      </c>
      <c r="HC39" s="426">
        <v>0</v>
      </c>
      <c r="HD39" s="426">
        <v>0</v>
      </c>
      <c r="HE39" s="426">
        <v>0</v>
      </c>
      <c r="HF39" s="426">
        <v>0</v>
      </c>
      <c r="HG39" s="426">
        <v>0</v>
      </c>
      <c r="HH39" s="426">
        <v>0</v>
      </c>
      <c r="HI39" s="426">
        <v>0</v>
      </c>
      <c r="HJ39" s="426">
        <v>0</v>
      </c>
      <c r="HK39" s="426">
        <v>0</v>
      </c>
      <c r="HL39" s="426">
        <v>0</v>
      </c>
      <c r="HM39" s="426">
        <v>0</v>
      </c>
      <c r="HN39" s="426">
        <v>0</v>
      </c>
      <c r="HO39" s="426">
        <v>0</v>
      </c>
      <c r="HP39" s="426">
        <v>0</v>
      </c>
      <c r="HQ39" s="426">
        <v>0</v>
      </c>
      <c r="HR39" s="426">
        <v>0</v>
      </c>
      <c r="HS39" s="426">
        <v>0</v>
      </c>
      <c r="HT39" s="426">
        <v>0</v>
      </c>
      <c r="HU39" s="426">
        <v>0</v>
      </c>
      <c r="HV39" s="426">
        <v>0</v>
      </c>
      <c r="HW39" s="426">
        <v>0</v>
      </c>
      <c r="HX39" s="426">
        <v>0</v>
      </c>
      <c r="HY39" s="426">
        <v>0</v>
      </c>
      <c r="HZ39" s="426">
        <v>0</v>
      </c>
      <c r="IA39" s="426">
        <v>0</v>
      </c>
      <c r="IB39" s="426">
        <v>0</v>
      </c>
      <c r="IC39" s="426">
        <v>0</v>
      </c>
      <c r="ID39" s="426">
        <v>0</v>
      </c>
      <c r="IE39" s="426">
        <v>0</v>
      </c>
      <c r="IF39" s="426">
        <v>0</v>
      </c>
      <c r="IG39" s="426">
        <v>0</v>
      </c>
      <c r="IH39" s="426">
        <v>0</v>
      </c>
      <c r="II39" s="426">
        <v>0</v>
      </c>
      <c r="IJ39" s="426">
        <v>0</v>
      </c>
      <c r="IK39" s="426">
        <v>0</v>
      </c>
      <c r="IL39" s="426">
        <v>0</v>
      </c>
      <c r="IM39" s="426">
        <v>0</v>
      </c>
      <c r="IN39" s="426">
        <v>0</v>
      </c>
      <c r="IO39" s="426">
        <v>0</v>
      </c>
      <c r="IP39" s="426">
        <v>0</v>
      </c>
    </row>
    <row r="40" spans="1:250" ht="15">
      <c r="A40" s="357" t="s">
        <v>645</v>
      </c>
      <c r="B40" s="427" t="s">
        <v>776</v>
      </c>
      <c r="C40" s="427"/>
      <c r="D40" s="427"/>
      <c r="E40" s="427"/>
      <c r="F40" s="427">
        <v>2</v>
      </c>
      <c r="G40" s="427"/>
      <c r="H40" s="427">
        <v>55</v>
      </c>
      <c r="I40" s="427"/>
      <c r="J40" t="str">
        <f t="shared" si="0"/>
        <v>CLX100255</v>
      </c>
      <c r="K40" s="427">
        <v>765</v>
      </c>
      <c r="R40" s="357" t="s">
        <v>645</v>
      </c>
      <c r="S40" s="428" t="s">
        <v>776</v>
      </c>
      <c r="T40" s="428">
        <v>2</v>
      </c>
      <c r="U40" s="428">
        <v>55</v>
      </c>
      <c r="V40" s="208" t="str">
        <f t="shared" si="1"/>
        <v>CLX100255</v>
      </c>
      <c r="W40" s="428">
        <v>0</v>
      </c>
      <c r="X40" s="428">
        <v>0</v>
      </c>
      <c r="Y40" s="428">
        <v>0</v>
      </c>
      <c r="Z40" s="428">
        <v>0</v>
      </c>
      <c r="AA40" s="428">
        <v>0</v>
      </c>
      <c r="AB40" s="428">
        <v>0</v>
      </c>
      <c r="AC40" s="428">
        <v>0</v>
      </c>
      <c r="AD40" s="428">
        <v>0</v>
      </c>
      <c r="AE40" s="428">
        <v>0</v>
      </c>
      <c r="AF40" s="428">
        <v>0</v>
      </c>
      <c r="AG40" s="428">
        <v>0</v>
      </c>
      <c r="AH40" s="428">
        <v>0</v>
      </c>
      <c r="AI40" s="428">
        <v>0</v>
      </c>
      <c r="AJ40" s="428">
        <v>0</v>
      </c>
      <c r="AK40" s="428">
        <v>0</v>
      </c>
      <c r="AL40" s="428">
        <v>0</v>
      </c>
      <c r="AM40" s="428">
        <v>0</v>
      </c>
      <c r="AN40" s="428">
        <v>0</v>
      </c>
      <c r="AO40" s="428">
        <v>0</v>
      </c>
      <c r="AP40" s="428">
        <v>0</v>
      </c>
      <c r="AQ40" s="428">
        <v>0</v>
      </c>
      <c r="AR40" s="428">
        <v>0</v>
      </c>
      <c r="AS40" s="428">
        <v>0</v>
      </c>
      <c r="AT40" s="428">
        <v>0</v>
      </c>
      <c r="AU40" s="428">
        <v>0</v>
      </c>
      <c r="AV40" s="428">
        <v>0</v>
      </c>
      <c r="AW40" s="428">
        <v>0</v>
      </c>
      <c r="AX40" s="428">
        <v>0</v>
      </c>
      <c r="AY40" s="428">
        <v>0</v>
      </c>
      <c r="AZ40" s="428">
        <v>0</v>
      </c>
      <c r="BA40" s="428">
        <v>0</v>
      </c>
      <c r="BB40" s="428">
        <v>0</v>
      </c>
      <c r="BC40" s="428">
        <v>0</v>
      </c>
      <c r="BD40" s="428">
        <v>0</v>
      </c>
      <c r="BE40" s="428">
        <v>8109.0000000000009</v>
      </c>
      <c r="BF40" s="428">
        <v>0</v>
      </c>
      <c r="BG40" s="428">
        <v>0</v>
      </c>
      <c r="BH40" s="428">
        <v>0</v>
      </c>
      <c r="BI40" s="428">
        <v>0</v>
      </c>
      <c r="BJ40" s="428">
        <v>0</v>
      </c>
      <c r="BK40" s="428">
        <v>0</v>
      </c>
      <c r="BL40" s="428">
        <v>0</v>
      </c>
      <c r="BM40" s="428">
        <v>0</v>
      </c>
      <c r="BN40" s="428">
        <v>0</v>
      </c>
      <c r="BO40" s="428">
        <v>0</v>
      </c>
      <c r="BP40" s="428">
        <v>0</v>
      </c>
      <c r="BQ40" s="428">
        <v>0</v>
      </c>
      <c r="BR40" s="428">
        <v>0</v>
      </c>
      <c r="BS40" s="428">
        <v>0</v>
      </c>
      <c r="BT40" s="428">
        <v>0</v>
      </c>
      <c r="BU40" s="428">
        <v>0</v>
      </c>
      <c r="BV40" s="428">
        <v>0</v>
      </c>
      <c r="BW40" s="428">
        <v>0</v>
      </c>
      <c r="BX40" s="428">
        <v>0</v>
      </c>
      <c r="BY40" s="428">
        <v>0</v>
      </c>
      <c r="BZ40" s="428">
        <v>0</v>
      </c>
      <c r="CA40" s="428">
        <v>0</v>
      </c>
      <c r="CB40" s="428">
        <v>0</v>
      </c>
      <c r="CC40" s="428">
        <v>0</v>
      </c>
      <c r="CD40" s="428">
        <v>0</v>
      </c>
      <c r="CE40" s="428">
        <v>0</v>
      </c>
      <c r="CF40" s="428">
        <v>0</v>
      </c>
      <c r="CG40" s="428">
        <v>0</v>
      </c>
      <c r="CH40" s="428">
        <v>0</v>
      </c>
      <c r="CI40" s="428">
        <v>0</v>
      </c>
      <c r="CJ40" s="428">
        <v>0</v>
      </c>
      <c r="CK40" s="428">
        <v>0</v>
      </c>
      <c r="CL40" s="428">
        <v>0</v>
      </c>
      <c r="CM40" s="428">
        <v>0</v>
      </c>
      <c r="CN40" s="428">
        <v>0</v>
      </c>
      <c r="CO40" s="428">
        <v>0</v>
      </c>
      <c r="CP40" s="428">
        <v>0</v>
      </c>
      <c r="CQ40" s="428">
        <v>0</v>
      </c>
      <c r="CR40" s="428">
        <v>0</v>
      </c>
      <c r="CS40" s="428">
        <v>0</v>
      </c>
      <c r="CT40" s="428">
        <v>0</v>
      </c>
      <c r="CU40" s="428">
        <v>0</v>
      </c>
      <c r="CV40" s="428">
        <v>0</v>
      </c>
      <c r="CW40" s="428">
        <v>0</v>
      </c>
      <c r="CX40" s="428">
        <v>0</v>
      </c>
      <c r="CY40" s="428">
        <v>0</v>
      </c>
      <c r="CZ40" s="428">
        <v>0</v>
      </c>
      <c r="DA40" s="428">
        <v>0</v>
      </c>
      <c r="DB40" s="428">
        <v>0</v>
      </c>
      <c r="DC40" s="428">
        <v>0</v>
      </c>
      <c r="DD40" s="428">
        <v>0</v>
      </c>
      <c r="DE40" s="428">
        <v>0</v>
      </c>
      <c r="DF40" s="428">
        <v>0</v>
      </c>
      <c r="DG40" s="428">
        <v>0</v>
      </c>
      <c r="DH40" s="428">
        <v>0</v>
      </c>
      <c r="DI40" s="428">
        <v>0</v>
      </c>
      <c r="DJ40" s="428">
        <v>0</v>
      </c>
      <c r="DK40" s="428">
        <v>0</v>
      </c>
      <c r="DL40" s="428">
        <v>0</v>
      </c>
      <c r="DM40" s="428">
        <v>0</v>
      </c>
      <c r="DN40" s="428">
        <v>0</v>
      </c>
      <c r="DO40" s="428">
        <v>0</v>
      </c>
      <c r="DP40" s="428">
        <v>0</v>
      </c>
      <c r="DQ40" s="428">
        <v>0</v>
      </c>
      <c r="DR40" s="428">
        <v>0</v>
      </c>
      <c r="DS40" s="428">
        <v>0</v>
      </c>
      <c r="DT40" s="428">
        <v>0</v>
      </c>
      <c r="DU40" s="428">
        <v>0</v>
      </c>
      <c r="DV40" s="428">
        <v>0</v>
      </c>
      <c r="ED40" s="135"/>
      <c r="EE40" s="357" t="s">
        <v>645</v>
      </c>
      <c r="EF40" s="426" t="s">
        <v>776</v>
      </c>
      <c r="EG40" s="426">
        <v>2</v>
      </c>
      <c r="EH40" s="426">
        <v>55</v>
      </c>
      <c r="EI40" s="208" t="str">
        <f t="shared" si="2"/>
        <v>CLX100255</v>
      </c>
      <c r="EJ40" s="426">
        <v>810.9</v>
      </c>
      <c r="EK40" s="426">
        <v>1621.8</v>
      </c>
      <c r="EL40" s="426">
        <v>2432.6999999999998</v>
      </c>
      <c r="EM40" s="426">
        <v>3243.6</v>
      </c>
      <c r="EN40" s="426">
        <v>4054.5</v>
      </c>
      <c r="EO40" s="426">
        <v>4865.3999999999996</v>
      </c>
      <c r="EP40" s="426">
        <v>5676.3</v>
      </c>
      <c r="EQ40" s="426">
        <v>6487.2</v>
      </c>
      <c r="ER40" s="426">
        <v>7298.1</v>
      </c>
      <c r="ES40" s="426">
        <v>8109</v>
      </c>
      <c r="ET40" s="426">
        <v>8109</v>
      </c>
      <c r="EU40" s="426">
        <v>8109</v>
      </c>
      <c r="EV40" s="426">
        <v>8109</v>
      </c>
      <c r="EW40" s="426">
        <v>8109</v>
      </c>
      <c r="EX40" s="426">
        <v>8109</v>
      </c>
      <c r="EY40" s="426">
        <v>8109</v>
      </c>
      <c r="EZ40" s="426">
        <v>8109</v>
      </c>
      <c r="FA40" s="426">
        <v>8109</v>
      </c>
      <c r="FB40" s="426">
        <v>8109</v>
      </c>
      <c r="FC40" s="426">
        <v>8109</v>
      </c>
      <c r="FD40" s="426">
        <v>8109</v>
      </c>
      <c r="FE40" s="426">
        <v>8109</v>
      </c>
      <c r="FF40" s="426">
        <v>8109</v>
      </c>
      <c r="FG40" s="426">
        <v>8109</v>
      </c>
      <c r="FH40" s="426">
        <v>8109</v>
      </c>
      <c r="FI40" s="426">
        <v>8109</v>
      </c>
      <c r="FJ40" s="426">
        <v>8109</v>
      </c>
      <c r="FK40" s="426">
        <v>8109</v>
      </c>
      <c r="FL40" s="426">
        <v>8109</v>
      </c>
      <c r="FM40" s="426">
        <v>8109</v>
      </c>
      <c r="FN40" s="426">
        <v>8109</v>
      </c>
      <c r="FO40" s="426">
        <v>8109</v>
      </c>
      <c r="FP40" s="426">
        <v>8109</v>
      </c>
      <c r="FQ40" s="426">
        <v>8109</v>
      </c>
      <c r="FR40" s="426">
        <v>8109</v>
      </c>
      <c r="FS40" s="426">
        <v>0</v>
      </c>
      <c r="FT40" s="426">
        <v>0</v>
      </c>
      <c r="FU40" s="426">
        <v>0</v>
      </c>
      <c r="FV40" s="426">
        <v>0</v>
      </c>
      <c r="FW40" s="426">
        <v>0</v>
      </c>
      <c r="FX40" s="426">
        <v>0</v>
      </c>
      <c r="FY40" s="426">
        <v>0</v>
      </c>
      <c r="FZ40" s="426">
        <v>0</v>
      </c>
      <c r="GA40" s="426">
        <v>0</v>
      </c>
      <c r="GB40" s="426">
        <v>0</v>
      </c>
      <c r="GC40" s="426">
        <v>0</v>
      </c>
      <c r="GD40" s="426">
        <v>0</v>
      </c>
      <c r="GE40" s="426">
        <v>0</v>
      </c>
      <c r="GF40" s="426">
        <v>0</v>
      </c>
      <c r="GG40" s="426">
        <v>0</v>
      </c>
      <c r="GH40" s="426">
        <v>0</v>
      </c>
      <c r="GI40" s="426">
        <v>0</v>
      </c>
      <c r="GJ40" s="426">
        <v>0</v>
      </c>
      <c r="GK40" s="426">
        <v>0</v>
      </c>
      <c r="GL40" s="426">
        <v>0</v>
      </c>
      <c r="GM40" s="426">
        <v>0</v>
      </c>
      <c r="GN40" s="426">
        <v>0</v>
      </c>
      <c r="GO40" s="426">
        <v>0</v>
      </c>
      <c r="GP40" s="426">
        <v>0</v>
      </c>
      <c r="GQ40" s="426">
        <v>0</v>
      </c>
      <c r="GR40" s="426">
        <v>0</v>
      </c>
      <c r="GS40" s="426">
        <v>0</v>
      </c>
      <c r="GT40" s="426">
        <v>0</v>
      </c>
      <c r="GU40" s="426">
        <v>0</v>
      </c>
      <c r="GV40" s="426">
        <v>0</v>
      </c>
      <c r="GW40" s="426">
        <v>0</v>
      </c>
      <c r="GX40" s="426">
        <v>0</v>
      </c>
      <c r="GY40" s="426">
        <v>0</v>
      </c>
      <c r="GZ40" s="426">
        <v>0</v>
      </c>
      <c r="HA40" s="426">
        <v>0</v>
      </c>
      <c r="HB40" s="426">
        <v>0</v>
      </c>
      <c r="HC40" s="426">
        <v>0</v>
      </c>
      <c r="HD40" s="426">
        <v>0</v>
      </c>
      <c r="HE40" s="426">
        <v>0</v>
      </c>
      <c r="HF40" s="426">
        <v>0</v>
      </c>
      <c r="HG40" s="426">
        <v>0</v>
      </c>
      <c r="HH40" s="426">
        <v>0</v>
      </c>
      <c r="HI40" s="426">
        <v>0</v>
      </c>
      <c r="HJ40" s="426">
        <v>0</v>
      </c>
      <c r="HK40" s="426">
        <v>0</v>
      </c>
      <c r="HL40" s="426">
        <v>0</v>
      </c>
      <c r="HM40" s="426">
        <v>0</v>
      </c>
      <c r="HN40" s="426">
        <v>0</v>
      </c>
      <c r="HO40" s="426">
        <v>0</v>
      </c>
      <c r="HP40" s="426">
        <v>0</v>
      </c>
      <c r="HQ40" s="426">
        <v>0</v>
      </c>
      <c r="HR40" s="426">
        <v>0</v>
      </c>
      <c r="HS40" s="426">
        <v>0</v>
      </c>
      <c r="HT40" s="426">
        <v>0</v>
      </c>
      <c r="HU40" s="426">
        <v>0</v>
      </c>
      <c r="HV40" s="426">
        <v>0</v>
      </c>
      <c r="HW40" s="426">
        <v>0</v>
      </c>
      <c r="HX40" s="426">
        <v>0</v>
      </c>
      <c r="HY40" s="426">
        <v>0</v>
      </c>
      <c r="HZ40" s="426">
        <v>0</v>
      </c>
      <c r="IA40" s="426">
        <v>0</v>
      </c>
      <c r="IB40" s="426">
        <v>0</v>
      </c>
      <c r="IC40" s="426">
        <v>0</v>
      </c>
      <c r="ID40" s="426">
        <v>0</v>
      </c>
      <c r="IE40" s="426">
        <v>0</v>
      </c>
      <c r="IF40" s="426">
        <v>0</v>
      </c>
      <c r="IG40" s="426">
        <v>0</v>
      </c>
      <c r="IH40" s="426">
        <v>0</v>
      </c>
      <c r="II40" s="426">
        <v>0</v>
      </c>
      <c r="IJ40" s="426">
        <v>0</v>
      </c>
      <c r="IK40" s="426">
        <v>0</v>
      </c>
      <c r="IL40" s="426">
        <v>0</v>
      </c>
      <c r="IM40" s="426">
        <v>0</v>
      </c>
      <c r="IN40" s="426">
        <v>0</v>
      </c>
      <c r="IO40" s="426">
        <v>0</v>
      </c>
      <c r="IP40" s="426">
        <v>0</v>
      </c>
    </row>
    <row r="41" spans="1:250" ht="15">
      <c r="A41" s="357" t="s">
        <v>645</v>
      </c>
      <c r="B41" s="427" t="s">
        <v>776</v>
      </c>
      <c r="C41" s="427"/>
      <c r="D41" s="427"/>
      <c r="E41" s="427"/>
      <c r="F41" s="427">
        <v>2</v>
      </c>
      <c r="G41" s="427"/>
      <c r="H41" s="427">
        <v>56</v>
      </c>
      <c r="I41" s="427"/>
      <c r="J41" t="str">
        <f t="shared" si="0"/>
        <v>CLX100256</v>
      </c>
      <c r="K41" s="427">
        <v>780</v>
      </c>
      <c r="R41" s="357" t="s">
        <v>645</v>
      </c>
      <c r="S41" s="428" t="s">
        <v>776</v>
      </c>
      <c r="T41" s="428">
        <v>2</v>
      </c>
      <c r="U41" s="428">
        <v>56</v>
      </c>
      <c r="V41" s="208" t="str">
        <f t="shared" si="1"/>
        <v>CLX100256</v>
      </c>
      <c r="W41" s="428">
        <v>0</v>
      </c>
      <c r="X41" s="428">
        <v>0</v>
      </c>
      <c r="Y41" s="428">
        <v>0</v>
      </c>
      <c r="Z41" s="428">
        <v>0</v>
      </c>
      <c r="AA41" s="428">
        <v>0</v>
      </c>
      <c r="AB41" s="428">
        <v>0</v>
      </c>
      <c r="AC41" s="428">
        <v>0</v>
      </c>
      <c r="AD41" s="428">
        <v>0</v>
      </c>
      <c r="AE41" s="428">
        <v>0</v>
      </c>
      <c r="AF41" s="428">
        <v>0</v>
      </c>
      <c r="AG41" s="428">
        <v>0</v>
      </c>
      <c r="AH41" s="428">
        <v>0</v>
      </c>
      <c r="AI41" s="428">
        <v>0</v>
      </c>
      <c r="AJ41" s="428">
        <v>0</v>
      </c>
      <c r="AK41" s="428">
        <v>0</v>
      </c>
      <c r="AL41" s="428">
        <v>0</v>
      </c>
      <c r="AM41" s="428">
        <v>0</v>
      </c>
      <c r="AN41" s="428">
        <v>0</v>
      </c>
      <c r="AO41" s="428">
        <v>0</v>
      </c>
      <c r="AP41" s="428">
        <v>0</v>
      </c>
      <c r="AQ41" s="428">
        <v>0</v>
      </c>
      <c r="AR41" s="428">
        <v>0</v>
      </c>
      <c r="AS41" s="428">
        <v>0</v>
      </c>
      <c r="AT41" s="428">
        <v>0</v>
      </c>
      <c r="AU41" s="428">
        <v>0</v>
      </c>
      <c r="AV41" s="428">
        <v>0</v>
      </c>
      <c r="AW41" s="428">
        <v>0</v>
      </c>
      <c r="AX41" s="428">
        <v>0</v>
      </c>
      <c r="AY41" s="428">
        <v>0</v>
      </c>
      <c r="AZ41" s="428">
        <v>0</v>
      </c>
      <c r="BA41" s="428">
        <v>0</v>
      </c>
      <c r="BB41" s="428">
        <v>0</v>
      </c>
      <c r="BC41" s="428">
        <v>0</v>
      </c>
      <c r="BD41" s="428">
        <v>8268</v>
      </c>
      <c r="BE41" s="428">
        <v>0</v>
      </c>
      <c r="BF41" s="428">
        <v>0</v>
      </c>
      <c r="BG41" s="428">
        <v>0</v>
      </c>
      <c r="BH41" s="428">
        <v>0</v>
      </c>
      <c r="BI41" s="428">
        <v>0</v>
      </c>
      <c r="BJ41" s="428">
        <v>0</v>
      </c>
      <c r="BK41" s="428">
        <v>0</v>
      </c>
      <c r="BL41" s="428">
        <v>0</v>
      </c>
      <c r="BM41" s="428">
        <v>0</v>
      </c>
      <c r="BN41" s="428">
        <v>0</v>
      </c>
      <c r="BO41" s="428">
        <v>0</v>
      </c>
      <c r="BP41" s="428">
        <v>0</v>
      </c>
      <c r="BQ41" s="428">
        <v>0</v>
      </c>
      <c r="BR41" s="428">
        <v>0</v>
      </c>
      <c r="BS41" s="428">
        <v>0</v>
      </c>
      <c r="BT41" s="428">
        <v>0</v>
      </c>
      <c r="BU41" s="428">
        <v>0</v>
      </c>
      <c r="BV41" s="428">
        <v>0</v>
      </c>
      <c r="BW41" s="428">
        <v>0</v>
      </c>
      <c r="BX41" s="428">
        <v>0</v>
      </c>
      <c r="BY41" s="428">
        <v>0</v>
      </c>
      <c r="BZ41" s="428">
        <v>0</v>
      </c>
      <c r="CA41" s="428">
        <v>0</v>
      </c>
      <c r="CB41" s="428">
        <v>0</v>
      </c>
      <c r="CC41" s="428">
        <v>0</v>
      </c>
      <c r="CD41" s="428">
        <v>0</v>
      </c>
      <c r="CE41" s="428">
        <v>0</v>
      </c>
      <c r="CF41" s="428">
        <v>0</v>
      </c>
      <c r="CG41" s="428">
        <v>0</v>
      </c>
      <c r="CH41" s="428">
        <v>0</v>
      </c>
      <c r="CI41" s="428">
        <v>0</v>
      </c>
      <c r="CJ41" s="428">
        <v>0</v>
      </c>
      <c r="CK41" s="428">
        <v>0</v>
      </c>
      <c r="CL41" s="428">
        <v>0</v>
      </c>
      <c r="CM41" s="428">
        <v>0</v>
      </c>
      <c r="CN41" s="428">
        <v>0</v>
      </c>
      <c r="CO41" s="428">
        <v>0</v>
      </c>
      <c r="CP41" s="428">
        <v>0</v>
      </c>
      <c r="CQ41" s="428">
        <v>0</v>
      </c>
      <c r="CR41" s="428">
        <v>0</v>
      </c>
      <c r="CS41" s="428">
        <v>0</v>
      </c>
      <c r="CT41" s="428">
        <v>0</v>
      </c>
      <c r="CU41" s="428">
        <v>0</v>
      </c>
      <c r="CV41" s="428">
        <v>0</v>
      </c>
      <c r="CW41" s="428">
        <v>0</v>
      </c>
      <c r="CX41" s="428">
        <v>0</v>
      </c>
      <c r="CY41" s="428">
        <v>0</v>
      </c>
      <c r="CZ41" s="428">
        <v>0</v>
      </c>
      <c r="DA41" s="428">
        <v>0</v>
      </c>
      <c r="DB41" s="428">
        <v>0</v>
      </c>
      <c r="DC41" s="428">
        <v>0</v>
      </c>
      <c r="DD41" s="428">
        <v>0</v>
      </c>
      <c r="DE41" s="428">
        <v>0</v>
      </c>
      <c r="DF41" s="428">
        <v>0</v>
      </c>
      <c r="DG41" s="428">
        <v>0</v>
      </c>
      <c r="DH41" s="428">
        <v>0</v>
      </c>
      <c r="DI41" s="428">
        <v>0</v>
      </c>
      <c r="DJ41" s="428">
        <v>0</v>
      </c>
      <c r="DK41" s="428">
        <v>0</v>
      </c>
      <c r="DL41" s="428">
        <v>0</v>
      </c>
      <c r="DM41" s="428">
        <v>0</v>
      </c>
      <c r="DN41" s="428">
        <v>0</v>
      </c>
      <c r="DO41" s="428">
        <v>0</v>
      </c>
      <c r="DP41" s="428">
        <v>0</v>
      </c>
      <c r="DQ41" s="428">
        <v>0</v>
      </c>
      <c r="DR41" s="428">
        <v>0</v>
      </c>
      <c r="DS41" s="428">
        <v>0</v>
      </c>
      <c r="DT41" s="428">
        <v>0</v>
      </c>
      <c r="DU41" s="428">
        <v>0</v>
      </c>
      <c r="DV41" s="428">
        <v>0</v>
      </c>
      <c r="ED41" s="135"/>
      <c r="EE41" s="357" t="s">
        <v>645</v>
      </c>
      <c r="EF41" s="426" t="s">
        <v>776</v>
      </c>
      <c r="EG41" s="426">
        <v>2</v>
      </c>
      <c r="EH41" s="426">
        <v>56</v>
      </c>
      <c r="EI41" s="208" t="str">
        <f t="shared" si="2"/>
        <v>CLX100256</v>
      </c>
      <c r="EJ41" s="426">
        <v>826.8</v>
      </c>
      <c r="EK41" s="426">
        <v>1653.6</v>
      </c>
      <c r="EL41" s="426">
        <v>2480.4</v>
      </c>
      <c r="EM41" s="426">
        <v>3307.2</v>
      </c>
      <c r="EN41" s="426">
        <v>4134</v>
      </c>
      <c r="EO41" s="426">
        <v>4960.8</v>
      </c>
      <c r="EP41" s="426">
        <v>5787.6</v>
      </c>
      <c r="EQ41" s="426">
        <v>6614.4</v>
      </c>
      <c r="ER41" s="426">
        <v>7441.2</v>
      </c>
      <c r="ES41" s="426">
        <v>8268</v>
      </c>
      <c r="ET41" s="426">
        <v>8268</v>
      </c>
      <c r="EU41" s="426">
        <v>8268</v>
      </c>
      <c r="EV41" s="426">
        <v>8268</v>
      </c>
      <c r="EW41" s="426">
        <v>8268</v>
      </c>
      <c r="EX41" s="426">
        <v>8268</v>
      </c>
      <c r="EY41" s="426">
        <v>8268</v>
      </c>
      <c r="EZ41" s="426">
        <v>8268</v>
      </c>
      <c r="FA41" s="426">
        <v>8268</v>
      </c>
      <c r="FB41" s="426">
        <v>8268</v>
      </c>
      <c r="FC41" s="426">
        <v>8268</v>
      </c>
      <c r="FD41" s="426">
        <v>8268</v>
      </c>
      <c r="FE41" s="426">
        <v>8268</v>
      </c>
      <c r="FF41" s="426">
        <v>8268</v>
      </c>
      <c r="FG41" s="426">
        <v>8268</v>
      </c>
      <c r="FH41" s="426">
        <v>8268</v>
      </c>
      <c r="FI41" s="426">
        <v>8268</v>
      </c>
      <c r="FJ41" s="426">
        <v>8268</v>
      </c>
      <c r="FK41" s="426">
        <v>8268</v>
      </c>
      <c r="FL41" s="426">
        <v>8268</v>
      </c>
      <c r="FM41" s="426">
        <v>8268</v>
      </c>
      <c r="FN41" s="426">
        <v>8268</v>
      </c>
      <c r="FO41" s="426">
        <v>8268</v>
      </c>
      <c r="FP41" s="426">
        <v>8268</v>
      </c>
      <c r="FQ41" s="426">
        <v>8268</v>
      </c>
      <c r="FR41" s="426">
        <v>0</v>
      </c>
      <c r="FS41" s="426">
        <v>0</v>
      </c>
      <c r="FT41" s="426">
        <v>0</v>
      </c>
      <c r="FU41" s="426">
        <v>0</v>
      </c>
      <c r="FV41" s="426">
        <v>0</v>
      </c>
      <c r="FW41" s="426">
        <v>0</v>
      </c>
      <c r="FX41" s="426">
        <v>0</v>
      </c>
      <c r="FY41" s="426">
        <v>0</v>
      </c>
      <c r="FZ41" s="426">
        <v>0</v>
      </c>
      <c r="GA41" s="426">
        <v>0</v>
      </c>
      <c r="GB41" s="426">
        <v>0</v>
      </c>
      <c r="GC41" s="426">
        <v>0</v>
      </c>
      <c r="GD41" s="426">
        <v>0</v>
      </c>
      <c r="GE41" s="426">
        <v>0</v>
      </c>
      <c r="GF41" s="426">
        <v>0</v>
      </c>
      <c r="GG41" s="426">
        <v>0</v>
      </c>
      <c r="GH41" s="426">
        <v>0</v>
      </c>
      <c r="GI41" s="426">
        <v>0</v>
      </c>
      <c r="GJ41" s="426">
        <v>0</v>
      </c>
      <c r="GK41" s="426">
        <v>0</v>
      </c>
      <c r="GL41" s="426">
        <v>0</v>
      </c>
      <c r="GM41" s="426">
        <v>0</v>
      </c>
      <c r="GN41" s="426">
        <v>0</v>
      </c>
      <c r="GO41" s="426">
        <v>0</v>
      </c>
      <c r="GP41" s="426">
        <v>0</v>
      </c>
      <c r="GQ41" s="426">
        <v>0</v>
      </c>
      <c r="GR41" s="426">
        <v>0</v>
      </c>
      <c r="GS41" s="426">
        <v>0</v>
      </c>
      <c r="GT41" s="426">
        <v>0</v>
      </c>
      <c r="GU41" s="426">
        <v>0</v>
      </c>
      <c r="GV41" s="426">
        <v>0</v>
      </c>
      <c r="GW41" s="426">
        <v>0</v>
      </c>
      <c r="GX41" s="426">
        <v>0</v>
      </c>
      <c r="GY41" s="426">
        <v>0</v>
      </c>
      <c r="GZ41" s="426">
        <v>0</v>
      </c>
      <c r="HA41" s="426">
        <v>0</v>
      </c>
      <c r="HB41" s="426">
        <v>0</v>
      </c>
      <c r="HC41" s="426">
        <v>0</v>
      </c>
      <c r="HD41" s="426">
        <v>0</v>
      </c>
      <c r="HE41" s="426">
        <v>0</v>
      </c>
      <c r="HF41" s="426">
        <v>0</v>
      </c>
      <c r="HG41" s="426">
        <v>0</v>
      </c>
      <c r="HH41" s="426">
        <v>0</v>
      </c>
      <c r="HI41" s="426">
        <v>0</v>
      </c>
      <c r="HJ41" s="426">
        <v>0</v>
      </c>
      <c r="HK41" s="426">
        <v>0</v>
      </c>
      <c r="HL41" s="426">
        <v>0</v>
      </c>
      <c r="HM41" s="426">
        <v>0</v>
      </c>
      <c r="HN41" s="426">
        <v>0</v>
      </c>
      <c r="HO41" s="426">
        <v>0</v>
      </c>
      <c r="HP41" s="426">
        <v>0</v>
      </c>
      <c r="HQ41" s="426">
        <v>0</v>
      </c>
      <c r="HR41" s="426">
        <v>0</v>
      </c>
      <c r="HS41" s="426">
        <v>0</v>
      </c>
      <c r="HT41" s="426">
        <v>0</v>
      </c>
      <c r="HU41" s="426">
        <v>0</v>
      </c>
      <c r="HV41" s="426">
        <v>0</v>
      </c>
      <c r="HW41" s="426">
        <v>0</v>
      </c>
      <c r="HX41" s="426">
        <v>0</v>
      </c>
      <c r="HY41" s="426">
        <v>0</v>
      </c>
      <c r="HZ41" s="426">
        <v>0</v>
      </c>
      <c r="IA41" s="426">
        <v>0</v>
      </c>
      <c r="IB41" s="426">
        <v>0</v>
      </c>
      <c r="IC41" s="426">
        <v>0</v>
      </c>
      <c r="ID41" s="426">
        <v>0</v>
      </c>
      <c r="IE41" s="426">
        <v>0</v>
      </c>
      <c r="IF41" s="426">
        <v>0</v>
      </c>
      <c r="IG41" s="426">
        <v>0</v>
      </c>
      <c r="IH41" s="426">
        <v>0</v>
      </c>
      <c r="II41" s="426">
        <v>0</v>
      </c>
      <c r="IJ41" s="426">
        <v>0</v>
      </c>
      <c r="IK41" s="426">
        <v>0</v>
      </c>
      <c r="IL41" s="426">
        <v>0</v>
      </c>
      <c r="IM41" s="426">
        <v>0</v>
      </c>
      <c r="IN41" s="426">
        <v>0</v>
      </c>
      <c r="IO41" s="426">
        <v>0</v>
      </c>
      <c r="IP41" s="426">
        <v>0</v>
      </c>
    </row>
    <row r="42" spans="1:250" ht="15">
      <c r="A42" s="357" t="s">
        <v>645</v>
      </c>
      <c r="B42" s="427" t="s">
        <v>776</v>
      </c>
      <c r="C42" s="427"/>
      <c r="D42" s="427"/>
      <c r="E42" s="427"/>
      <c r="F42" s="427">
        <v>2</v>
      </c>
      <c r="G42" s="427"/>
      <c r="H42" s="427">
        <v>57</v>
      </c>
      <c r="I42" s="427"/>
      <c r="J42" t="str">
        <f t="shared" si="0"/>
        <v>CLX100257</v>
      </c>
      <c r="K42" s="427">
        <v>795</v>
      </c>
      <c r="R42" s="357" t="s">
        <v>645</v>
      </c>
      <c r="S42" s="428" t="s">
        <v>776</v>
      </c>
      <c r="T42" s="428">
        <v>2</v>
      </c>
      <c r="U42" s="428">
        <v>57</v>
      </c>
      <c r="V42" s="208" t="str">
        <f t="shared" si="1"/>
        <v>CLX100257</v>
      </c>
      <c r="W42" s="428">
        <v>0</v>
      </c>
      <c r="X42" s="428">
        <v>0</v>
      </c>
      <c r="Y42" s="428">
        <v>0</v>
      </c>
      <c r="Z42" s="428">
        <v>0</v>
      </c>
      <c r="AA42" s="428">
        <v>0</v>
      </c>
      <c r="AB42" s="428">
        <v>0</v>
      </c>
      <c r="AC42" s="428">
        <v>0</v>
      </c>
      <c r="AD42" s="428">
        <v>0</v>
      </c>
      <c r="AE42" s="428">
        <v>0</v>
      </c>
      <c r="AF42" s="428">
        <v>0</v>
      </c>
      <c r="AG42" s="428">
        <v>0</v>
      </c>
      <c r="AH42" s="428">
        <v>0</v>
      </c>
      <c r="AI42" s="428">
        <v>0</v>
      </c>
      <c r="AJ42" s="428">
        <v>0</v>
      </c>
      <c r="AK42" s="428">
        <v>0</v>
      </c>
      <c r="AL42" s="428">
        <v>0</v>
      </c>
      <c r="AM42" s="428">
        <v>0</v>
      </c>
      <c r="AN42" s="428">
        <v>0</v>
      </c>
      <c r="AO42" s="428">
        <v>0</v>
      </c>
      <c r="AP42" s="428">
        <v>0</v>
      </c>
      <c r="AQ42" s="428">
        <v>0</v>
      </c>
      <c r="AR42" s="428">
        <v>0</v>
      </c>
      <c r="AS42" s="428">
        <v>0</v>
      </c>
      <c r="AT42" s="428">
        <v>0</v>
      </c>
      <c r="AU42" s="428">
        <v>0</v>
      </c>
      <c r="AV42" s="428">
        <v>0</v>
      </c>
      <c r="AW42" s="428">
        <v>0</v>
      </c>
      <c r="AX42" s="428">
        <v>0</v>
      </c>
      <c r="AY42" s="428">
        <v>0</v>
      </c>
      <c r="AZ42" s="428">
        <v>0</v>
      </c>
      <c r="BA42" s="428">
        <v>0</v>
      </c>
      <c r="BB42" s="428">
        <v>0</v>
      </c>
      <c r="BC42" s="428">
        <v>8427</v>
      </c>
      <c r="BD42" s="428">
        <v>0</v>
      </c>
      <c r="BE42" s="428">
        <v>0</v>
      </c>
      <c r="BF42" s="428">
        <v>0</v>
      </c>
      <c r="BG42" s="428">
        <v>0</v>
      </c>
      <c r="BH42" s="428">
        <v>0</v>
      </c>
      <c r="BI42" s="428">
        <v>0</v>
      </c>
      <c r="BJ42" s="428">
        <v>0</v>
      </c>
      <c r="BK42" s="428">
        <v>0</v>
      </c>
      <c r="BL42" s="428">
        <v>0</v>
      </c>
      <c r="BM42" s="428">
        <v>0</v>
      </c>
      <c r="BN42" s="428">
        <v>0</v>
      </c>
      <c r="BO42" s="428">
        <v>0</v>
      </c>
      <c r="BP42" s="428">
        <v>0</v>
      </c>
      <c r="BQ42" s="428">
        <v>0</v>
      </c>
      <c r="BR42" s="428">
        <v>0</v>
      </c>
      <c r="BS42" s="428">
        <v>0</v>
      </c>
      <c r="BT42" s="428">
        <v>0</v>
      </c>
      <c r="BU42" s="428">
        <v>0</v>
      </c>
      <c r="BV42" s="428">
        <v>0</v>
      </c>
      <c r="BW42" s="428">
        <v>0</v>
      </c>
      <c r="BX42" s="428">
        <v>0</v>
      </c>
      <c r="BY42" s="428">
        <v>0</v>
      </c>
      <c r="BZ42" s="428">
        <v>0</v>
      </c>
      <c r="CA42" s="428">
        <v>0</v>
      </c>
      <c r="CB42" s="428">
        <v>0</v>
      </c>
      <c r="CC42" s="428">
        <v>0</v>
      </c>
      <c r="CD42" s="428">
        <v>0</v>
      </c>
      <c r="CE42" s="428">
        <v>0</v>
      </c>
      <c r="CF42" s="428">
        <v>0</v>
      </c>
      <c r="CG42" s="428">
        <v>0</v>
      </c>
      <c r="CH42" s="428">
        <v>0</v>
      </c>
      <c r="CI42" s="428">
        <v>0</v>
      </c>
      <c r="CJ42" s="428">
        <v>0</v>
      </c>
      <c r="CK42" s="428">
        <v>0</v>
      </c>
      <c r="CL42" s="428">
        <v>0</v>
      </c>
      <c r="CM42" s="428">
        <v>0</v>
      </c>
      <c r="CN42" s="428">
        <v>0</v>
      </c>
      <c r="CO42" s="428">
        <v>0</v>
      </c>
      <c r="CP42" s="428">
        <v>0</v>
      </c>
      <c r="CQ42" s="428">
        <v>0</v>
      </c>
      <c r="CR42" s="428">
        <v>0</v>
      </c>
      <c r="CS42" s="428">
        <v>0</v>
      </c>
      <c r="CT42" s="428">
        <v>0</v>
      </c>
      <c r="CU42" s="428">
        <v>0</v>
      </c>
      <c r="CV42" s="428">
        <v>0</v>
      </c>
      <c r="CW42" s="428">
        <v>0</v>
      </c>
      <c r="CX42" s="428">
        <v>0</v>
      </c>
      <c r="CY42" s="428">
        <v>0</v>
      </c>
      <c r="CZ42" s="428">
        <v>0</v>
      </c>
      <c r="DA42" s="428">
        <v>0</v>
      </c>
      <c r="DB42" s="428">
        <v>0</v>
      </c>
      <c r="DC42" s="428">
        <v>0</v>
      </c>
      <c r="DD42" s="428">
        <v>0</v>
      </c>
      <c r="DE42" s="428">
        <v>0</v>
      </c>
      <c r="DF42" s="428">
        <v>0</v>
      </c>
      <c r="DG42" s="428">
        <v>0</v>
      </c>
      <c r="DH42" s="428">
        <v>0</v>
      </c>
      <c r="DI42" s="428">
        <v>0</v>
      </c>
      <c r="DJ42" s="428">
        <v>0</v>
      </c>
      <c r="DK42" s="428">
        <v>0</v>
      </c>
      <c r="DL42" s="428">
        <v>0</v>
      </c>
      <c r="DM42" s="428">
        <v>0</v>
      </c>
      <c r="DN42" s="428">
        <v>0</v>
      </c>
      <c r="DO42" s="428">
        <v>0</v>
      </c>
      <c r="DP42" s="428">
        <v>0</v>
      </c>
      <c r="DQ42" s="428">
        <v>0</v>
      </c>
      <c r="DR42" s="428">
        <v>0</v>
      </c>
      <c r="DS42" s="428">
        <v>0</v>
      </c>
      <c r="DT42" s="428">
        <v>0</v>
      </c>
      <c r="DU42" s="428">
        <v>0</v>
      </c>
      <c r="DV42" s="428">
        <v>0</v>
      </c>
      <c r="ED42" s="135"/>
      <c r="EE42" s="357" t="s">
        <v>645</v>
      </c>
      <c r="EF42" s="426" t="s">
        <v>776</v>
      </c>
      <c r="EG42" s="426">
        <v>2</v>
      </c>
      <c r="EH42" s="426">
        <v>57</v>
      </c>
      <c r="EI42" s="208" t="str">
        <f t="shared" si="2"/>
        <v>CLX100257</v>
      </c>
      <c r="EJ42" s="426">
        <v>842.7</v>
      </c>
      <c r="EK42" s="426">
        <v>1685.4</v>
      </c>
      <c r="EL42" s="426">
        <v>2528.1</v>
      </c>
      <c r="EM42" s="426">
        <v>3370.8</v>
      </c>
      <c r="EN42" s="426">
        <v>4213.5</v>
      </c>
      <c r="EO42" s="426">
        <v>5056.2</v>
      </c>
      <c r="EP42" s="426">
        <v>5898.9</v>
      </c>
      <c r="EQ42" s="426">
        <v>6741.6</v>
      </c>
      <c r="ER42" s="426">
        <v>7584.3</v>
      </c>
      <c r="ES42" s="426">
        <v>8427</v>
      </c>
      <c r="ET42" s="426">
        <v>8427</v>
      </c>
      <c r="EU42" s="426">
        <v>8427</v>
      </c>
      <c r="EV42" s="426">
        <v>8427</v>
      </c>
      <c r="EW42" s="426">
        <v>8427</v>
      </c>
      <c r="EX42" s="426">
        <v>8427</v>
      </c>
      <c r="EY42" s="426">
        <v>8427</v>
      </c>
      <c r="EZ42" s="426">
        <v>8427</v>
      </c>
      <c r="FA42" s="426">
        <v>8427</v>
      </c>
      <c r="FB42" s="426">
        <v>8427</v>
      </c>
      <c r="FC42" s="426">
        <v>8427</v>
      </c>
      <c r="FD42" s="426">
        <v>8427</v>
      </c>
      <c r="FE42" s="426">
        <v>8427</v>
      </c>
      <c r="FF42" s="426">
        <v>8427</v>
      </c>
      <c r="FG42" s="426">
        <v>8427</v>
      </c>
      <c r="FH42" s="426">
        <v>8427</v>
      </c>
      <c r="FI42" s="426">
        <v>8427</v>
      </c>
      <c r="FJ42" s="426">
        <v>8427</v>
      </c>
      <c r="FK42" s="426">
        <v>8427</v>
      </c>
      <c r="FL42" s="426">
        <v>8427</v>
      </c>
      <c r="FM42" s="426">
        <v>8427</v>
      </c>
      <c r="FN42" s="426">
        <v>8427</v>
      </c>
      <c r="FO42" s="426">
        <v>8427</v>
      </c>
      <c r="FP42" s="426">
        <v>8427</v>
      </c>
      <c r="FQ42" s="426">
        <v>0</v>
      </c>
      <c r="FR42" s="426">
        <v>0</v>
      </c>
      <c r="FS42" s="426">
        <v>0</v>
      </c>
      <c r="FT42" s="426">
        <v>0</v>
      </c>
      <c r="FU42" s="426">
        <v>0</v>
      </c>
      <c r="FV42" s="426">
        <v>0</v>
      </c>
      <c r="FW42" s="426">
        <v>0</v>
      </c>
      <c r="FX42" s="426">
        <v>0</v>
      </c>
      <c r="FY42" s="426">
        <v>0</v>
      </c>
      <c r="FZ42" s="426">
        <v>0</v>
      </c>
      <c r="GA42" s="426">
        <v>0</v>
      </c>
      <c r="GB42" s="426">
        <v>0</v>
      </c>
      <c r="GC42" s="426">
        <v>0</v>
      </c>
      <c r="GD42" s="426">
        <v>0</v>
      </c>
      <c r="GE42" s="426">
        <v>0</v>
      </c>
      <c r="GF42" s="426">
        <v>0</v>
      </c>
      <c r="GG42" s="426">
        <v>0</v>
      </c>
      <c r="GH42" s="426">
        <v>0</v>
      </c>
      <c r="GI42" s="426">
        <v>0</v>
      </c>
      <c r="GJ42" s="426">
        <v>0</v>
      </c>
      <c r="GK42" s="426">
        <v>0</v>
      </c>
      <c r="GL42" s="426">
        <v>0</v>
      </c>
      <c r="GM42" s="426">
        <v>0</v>
      </c>
      <c r="GN42" s="426">
        <v>0</v>
      </c>
      <c r="GO42" s="426">
        <v>0</v>
      </c>
      <c r="GP42" s="426">
        <v>0</v>
      </c>
      <c r="GQ42" s="426">
        <v>0</v>
      </c>
      <c r="GR42" s="426">
        <v>0</v>
      </c>
      <c r="GS42" s="426">
        <v>0</v>
      </c>
      <c r="GT42" s="426">
        <v>0</v>
      </c>
      <c r="GU42" s="426">
        <v>0</v>
      </c>
      <c r="GV42" s="426">
        <v>0</v>
      </c>
      <c r="GW42" s="426">
        <v>0</v>
      </c>
      <c r="GX42" s="426">
        <v>0</v>
      </c>
      <c r="GY42" s="426">
        <v>0</v>
      </c>
      <c r="GZ42" s="426">
        <v>0</v>
      </c>
      <c r="HA42" s="426">
        <v>0</v>
      </c>
      <c r="HB42" s="426">
        <v>0</v>
      </c>
      <c r="HC42" s="426">
        <v>0</v>
      </c>
      <c r="HD42" s="426">
        <v>0</v>
      </c>
      <c r="HE42" s="426">
        <v>0</v>
      </c>
      <c r="HF42" s="426">
        <v>0</v>
      </c>
      <c r="HG42" s="426">
        <v>0</v>
      </c>
      <c r="HH42" s="426">
        <v>0</v>
      </c>
      <c r="HI42" s="426">
        <v>0</v>
      </c>
      <c r="HJ42" s="426">
        <v>0</v>
      </c>
      <c r="HK42" s="426">
        <v>0</v>
      </c>
      <c r="HL42" s="426">
        <v>0</v>
      </c>
      <c r="HM42" s="426">
        <v>0</v>
      </c>
      <c r="HN42" s="426">
        <v>0</v>
      </c>
      <c r="HO42" s="426">
        <v>0</v>
      </c>
      <c r="HP42" s="426">
        <v>0</v>
      </c>
      <c r="HQ42" s="426">
        <v>0</v>
      </c>
      <c r="HR42" s="426">
        <v>0</v>
      </c>
      <c r="HS42" s="426">
        <v>0</v>
      </c>
      <c r="HT42" s="426">
        <v>0</v>
      </c>
      <c r="HU42" s="426">
        <v>0</v>
      </c>
      <c r="HV42" s="426">
        <v>0</v>
      </c>
      <c r="HW42" s="426">
        <v>0</v>
      </c>
      <c r="HX42" s="426">
        <v>0</v>
      </c>
      <c r="HY42" s="426">
        <v>0</v>
      </c>
      <c r="HZ42" s="426">
        <v>0</v>
      </c>
      <c r="IA42" s="426">
        <v>0</v>
      </c>
      <c r="IB42" s="426">
        <v>0</v>
      </c>
      <c r="IC42" s="426">
        <v>0</v>
      </c>
      <c r="ID42" s="426">
        <v>0</v>
      </c>
      <c r="IE42" s="426">
        <v>0</v>
      </c>
      <c r="IF42" s="426">
        <v>0</v>
      </c>
      <c r="IG42" s="426">
        <v>0</v>
      </c>
      <c r="IH42" s="426">
        <v>0</v>
      </c>
      <c r="II42" s="426">
        <v>0</v>
      </c>
      <c r="IJ42" s="426">
        <v>0</v>
      </c>
      <c r="IK42" s="426">
        <v>0</v>
      </c>
      <c r="IL42" s="426">
        <v>0</v>
      </c>
      <c r="IM42" s="426">
        <v>0</v>
      </c>
      <c r="IN42" s="426">
        <v>0</v>
      </c>
      <c r="IO42" s="426">
        <v>0</v>
      </c>
      <c r="IP42" s="426">
        <v>0</v>
      </c>
    </row>
    <row r="43" spans="1:250" ht="15">
      <c r="A43" s="357" t="s">
        <v>645</v>
      </c>
      <c r="B43" s="427" t="s">
        <v>776</v>
      </c>
      <c r="C43" s="427"/>
      <c r="D43" s="427"/>
      <c r="E43" s="427"/>
      <c r="F43" s="427">
        <v>2</v>
      </c>
      <c r="G43" s="427"/>
      <c r="H43" s="427">
        <v>58</v>
      </c>
      <c r="I43" s="427"/>
      <c r="J43" t="str">
        <f t="shared" si="0"/>
        <v>CLX100258</v>
      </c>
      <c r="K43" s="427">
        <v>825</v>
      </c>
      <c r="R43" s="357" t="s">
        <v>645</v>
      </c>
      <c r="S43" s="428" t="s">
        <v>776</v>
      </c>
      <c r="T43" s="428">
        <v>2</v>
      </c>
      <c r="U43" s="428">
        <v>58</v>
      </c>
      <c r="V43" s="208" t="str">
        <f t="shared" si="1"/>
        <v>CLX100258</v>
      </c>
      <c r="W43" s="428">
        <v>0</v>
      </c>
      <c r="X43" s="428">
        <v>0</v>
      </c>
      <c r="Y43" s="428">
        <v>0</v>
      </c>
      <c r="Z43" s="428">
        <v>0</v>
      </c>
      <c r="AA43" s="428">
        <v>0</v>
      </c>
      <c r="AB43" s="428">
        <v>0</v>
      </c>
      <c r="AC43" s="428">
        <v>0</v>
      </c>
      <c r="AD43" s="428">
        <v>0</v>
      </c>
      <c r="AE43" s="428">
        <v>0</v>
      </c>
      <c r="AF43" s="428">
        <v>0</v>
      </c>
      <c r="AG43" s="428">
        <v>0</v>
      </c>
      <c r="AH43" s="428">
        <v>0</v>
      </c>
      <c r="AI43" s="428">
        <v>0</v>
      </c>
      <c r="AJ43" s="428">
        <v>0</v>
      </c>
      <c r="AK43" s="428">
        <v>0</v>
      </c>
      <c r="AL43" s="428">
        <v>0</v>
      </c>
      <c r="AM43" s="428">
        <v>0</v>
      </c>
      <c r="AN43" s="428">
        <v>0</v>
      </c>
      <c r="AO43" s="428">
        <v>0</v>
      </c>
      <c r="AP43" s="428">
        <v>0</v>
      </c>
      <c r="AQ43" s="428">
        <v>0</v>
      </c>
      <c r="AR43" s="428">
        <v>0</v>
      </c>
      <c r="AS43" s="428">
        <v>0</v>
      </c>
      <c r="AT43" s="428">
        <v>0</v>
      </c>
      <c r="AU43" s="428">
        <v>0</v>
      </c>
      <c r="AV43" s="428">
        <v>0</v>
      </c>
      <c r="AW43" s="428">
        <v>0</v>
      </c>
      <c r="AX43" s="428">
        <v>0</v>
      </c>
      <c r="AY43" s="428">
        <v>0</v>
      </c>
      <c r="AZ43" s="428">
        <v>0</v>
      </c>
      <c r="BA43" s="428">
        <v>0</v>
      </c>
      <c r="BB43" s="428">
        <v>8745</v>
      </c>
      <c r="BC43" s="428">
        <v>0</v>
      </c>
      <c r="BD43" s="428">
        <v>0</v>
      </c>
      <c r="BE43" s="428">
        <v>0</v>
      </c>
      <c r="BF43" s="428">
        <v>0</v>
      </c>
      <c r="BG43" s="428">
        <v>0</v>
      </c>
      <c r="BH43" s="428">
        <v>0</v>
      </c>
      <c r="BI43" s="428">
        <v>0</v>
      </c>
      <c r="BJ43" s="428">
        <v>0</v>
      </c>
      <c r="BK43" s="428">
        <v>0</v>
      </c>
      <c r="BL43" s="428">
        <v>0</v>
      </c>
      <c r="BM43" s="428">
        <v>0</v>
      </c>
      <c r="BN43" s="428">
        <v>0</v>
      </c>
      <c r="BO43" s="428">
        <v>0</v>
      </c>
      <c r="BP43" s="428">
        <v>0</v>
      </c>
      <c r="BQ43" s="428">
        <v>0</v>
      </c>
      <c r="BR43" s="428">
        <v>0</v>
      </c>
      <c r="BS43" s="428">
        <v>0</v>
      </c>
      <c r="BT43" s="428">
        <v>0</v>
      </c>
      <c r="BU43" s="428">
        <v>0</v>
      </c>
      <c r="BV43" s="428">
        <v>0</v>
      </c>
      <c r="BW43" s="428">
        <v>0</v>
      </c>
      <c r="BX43" s="428">
        <v>0</v>
      </c>
      <c r="BY43" s="428">
        <v>0</v>
      </c>
      <c r="BZ43" s="428">
        <v>0</v>
      </c>
      <c r="CA43" s="428">
        <v>0</v>
      </c>
      <c r="CB43" s="428">
        <v>0</v>
      </c>
      <c r="CC43" s="428">
        <v>0</v>
      </c>
      <c r="CD43" s="428">
        <v>0</v>
      </c>
      <c r="CE43" s="428">
        <v>0</v>
      </c>
      <c r="CF43" s="428">
        <v>0</v>
      </c>
      <c r="CG43" s="428">
        <v>0</v>
      </c>
      <c r="CH43" s="428">
        <v>0</v>
      </c>
      <c r="CI43" s="428">
        <v>0</v>
      </c>
      <c r="CJ43" s="428">
        <v>0</v>
      </c>
      <c r="CK43" s="428">
        <v>0</v>
      </c>
      <c r="CL43" s="428">
        <v>0</v>
      </c>
      <c r="CM43" s="428">
        <v>0</v>
      </c>
      <c r="CN43" s="428">
        <v>0</v>
      </c>
      <c r="CO43" s="428">
        <v>0</v>
      </c>
      <c r="CP43" s="428">
        <v>0</v>
      </c>
      <c r="CQ43" s="428">
        <v>0</v>
      </c>
      <c r="CR43" s="428">
        <v>0</v>
      </c>
      <c r="CS43" s="428">
        <v>0</v>
      </c>
      <c r="CT43" s="428">
        <v>0</v>
      </c>
      <c r="CU43" s="428">
        <v>0</v>
      </c>
      <c r="CV43" s="428">
        <v>0</v>
      </c>
      <c r="CW43" s="428">
        <v>0</v>
      </c>
      <c r="CX43" s="428">
        <v>0</v>
      </c>
      <c r="CY43" s="428">
        <v>0</v>
      </c>
      <c r="CZ43" s="428">
        <v>0</v>
      </c>
      <c r="DA43" s="428">
        <v>0</v>
      </c>
      <c r="DB43" s="428">
        <v>0</v>
      </c>
      <c r="DC43" s="428">
        <v>0</v>
      </c>
      <c r="DD43" s="428">
        <v>0</v>
      </c>
      <c r="DE43" s="428">
        <v>0</v>
      </c>
      <c r="DF43" s="428">
        <v>0</v>
      </c>
      <c r="DG43" s="428">
        <v>0</v>
      </c>
      <c r="DH43" s="428">
        <v>0</v>
      </c>
      <c r="DI43" s="428">
        <v>0</v>
      </c>
      <c r="DJ43" s="428">
        <v>0</v>
      </c>
      <c r="DK43" s="428">
        <v>0</v>
      </c>
      <c r="DL43" s="428">
        <v>0</v>
      </c>
      <c r="DM43" s="428">
        <v>0</v>
      </c>
      <c r="DN43" s="428">
        <v>0</v>
      </c>
      <c r="DO43" s="428">
        <v>0</v>
      </c>
      <c r="DP43" s="428">
        <v>0</v>
      </c>
      <c r="DQ43" s="428">
        <v>0</v>
      </c>
      <c r="DR43" s="428">
        <v>0</v>
      </c>
      <c r="DS43" s="428">
        <v>0</v>
      </c>
      <c r="DT43" s="428">
        <v>0</v>
      </c>
      <c r="DU43" s="428">
        <v>0</v>
      </c>
      <c r="DV43" s="428">
        <v>0</v>
      </c>
      <c r="ED43" s="135"/>
      <c r="EE43" s="357" t="s">
        <v>645</v>
      </c>
      <c r="EF43" s="426" t="s">
        <v>776</v>
      </c>
      <c r="EG43" s="426">
        <v>2</v>
      </c>
      <c r="EH43" s="426">
        <v>58</v>
      </c>
      <c r="EI43" s="208" t="str">
        <f t="shared" si="2"/>
        <v>CLX100258</v>
      </c>
      <c r="EJ43" s="426">
        <v>874.5</v>
      </c>
      <c r="EK43" s="426">
        <v>1749</v>
      </c>
      <c r="EL43" s="426">
        <v>2623.5</v>
      </c>
      <c r="EM43" s="426">
        <v>3498</v>
      </c>
      <c r="EN43" s="426">
        <v>4372.5</v>
      </c>
      <c r="EO43" s="426">
        <v>5247</v>
      </c>
      <c r="EP43" s="426">
        <v>6121.5</v>
      </c>
      <c r="EQ43" s="426">
        <v>6996</v>
      </c>
      <c r="ER43" s="426">
        <v>7870.5</v>
      </c>
      <c r="ES43" s="426">
        <v>8745</v>
      </c>
      <c r="ET43" s="426">
        <v>8745</v>
      </c>
      <c r="EU43" s="426">
        <v>8745</v>
      </c>
      <c r="EV43" s="426">
        <v>8745</v>
      </c>
      <c r="EW43" s="426">
        <v>8745</v>
      </c>
      <c r="EX43" s="426">
        <v>8745</v>
      </c>
      <c r="EY43" s="426">
        <v>8745</v>
      </c>
      <c r="EZ43" s="426">
        <v>8745</v>
      </c>
      <c r="FA43" s="426">
        <v>8745</v>
      </c>
      <c r="FB43" s="426">
        <v>8745</v>
      </c>
      <c r="FC43" s="426">
        <v>8745</v>
      </c>
      <c r="FD43" s="426">
        <v>8745</v>
      </c>
      <c r="FE43" s="426">
        <v>8745</v>
      </c>
      <c r="FF43" s="426">
        <v>8745</v>
      </c>
      <c r="FG43" s="426">
        <v>8745</v>
      </c>
      <c r="FH43" s="426">
        <v>8745</v>
      </c>
      <c r="FI43" s="426">
        <v>8745</v>
      </c>
      <c r="FJ43" s="426">
        <v>8745</v>
      </c>
      <c r="FK43" s="426">
        <v>8745</v>
      </c>
      <c r="FL43" s="426">
        <v>8745</v>
      </c>
      <c r="FM43" s="426">
        <v>8745</v>
      </c>
      <c r="FN43" s="426">
        <v>8745</v>
      </c>
      <c r="FO43" s="426">
        <v>8745</v>
      </c>
      <c r="FP43" s="426">
        <v>0</v>
      </c>
      <c r="FQ43" s="426">
        <v>0</v>
      </c>
      <c r="FR43" s="426">
        <v>0</v>
      </c>
      <c r="FS43" s="426">
        <v>0</v>
      </c>
      <c r="FT43" s="426">
        <v>0</v>
      </c>
      <c r="FU43" s="426">
        <v>0</v>
      </c>
      <c r="FV43" s="426">
        <v>0</v>
      </c>
      <c r="FW43" s="426">
        <v>0</v>
      </c>
      <c r="FX43" s="426">
        <v>0</v>
      </c>
      <c r="FY43" s="426">
        <v>0</v>
      </c>
      <c r="FZ43" s="426">
        <v>0</v>
      </c>
      <c r="GA43" s="426">
        <v>0</v>
      </c>
      <c r="GB43" s="426">
        <v>0</v>
      </c>
      <c r="GC43" s="426">
        <v>0</v>
      </c>
      <c r="GD43" s="426">
        <v>0</v>
      </c>
      <c r="GE43" s="426">
        <v>0</v>
      </c>
      <c r="GF43" s="426">
        <v>0</v>
      </c>
      <c r="GG43" s="426">
        <v>0</v>
      </c>
      <c r="GH43" s="426">
        <v>0</v>
      </c>
      <c r="GI43" s="426">
        <v>0</v>
      </c>
      <c r="GJ43" s="426">
        <v>0</v>
      </c>
      <c r="GK43" s="426">
        <v>0</v>
      </c>
      <c r="GL43" s="426">
        <v>0</v>
      </c>
      <c r="GM43" s="426">
        <v>0</v>
      </c>
      <c r="GN43" s="426">
        <v>0</v>
      </c>
      <c r="GO43" s="426">
        <v>0</v>
      </c>
      <c r="GP43" s="426">
        <v>0</v>
      </c>
      <c r="GQ43" s="426">
        <v>0</v>
      </c>
      <c r="GR43" s="426">
        <v>0</v>
      </c>
      <c r="GS43" s="426">
        <v>0</v>
      </c>
      <c r="GT43" s="426">
        <v>0</v>
      </c>
      <c r="GU43" s="426">
        <v>0</v>
      </c>
      <c r="GV43" s="426">
        <v>0</v>
      </c>
      <c r="GW43" s="426">
        <v>0</v>
      </c>
      <c r="GX43" s="426">
        <v>0</v>
      </c>
      <c r="GY43" s="426">
        <v>0</v>
      </c>
      <c r="GZ43" s="426">
        <v>0</v>
      </c>
      <c r="HA43" s="426">
        <v>0</v>
      </c>
      <c r="HB43" s="426">
        <v>0</v>
      </c>
      <c r="HC43" s="426">
        <v>0</v>
      </c>
      <c r="HD43" s="426">
        <v>0</v>
      </c>
      <c r="HE43" s="426">
        <v>0</v>
      </c>
      <c r="HF43" s="426">
        <v>0</v>
      </c>
      <c r="HG43" s="426">
        <v>0</v>
      </c>
      <c r="HH43" s="426">
        <v>0</v>
      </c>
      <c r="HI43" s="426">
        <v>0</v>
      </c>
      <c r="HJ43" s="426">
        <v>0</v>
      </c>
      <c r="HK43" s="426">
        <v>0</v>
      </c>
      <c r="HL43" s="426">
        <v>0</v>
      </c>
      <c r="HM43" s="426">
        <v>0</v>
      </c>
      <c r="HN43" s="426">
        <v>0</v>
      </c>
      <c r="HO43" s="426">
        <v>0</v>
      </c>
      <c r="HP43" s="426">
        <v>0</v>
      </c>
      <c r="HQ43" s="426">
        <v>0</v>
      </c>
      <c r="HR43" s="426">
        <v>0</v>
      </c>
      <c r="HS43" s="426">
        <v>0</v>
      </c>
      <c r="HT43" s="426">
        <v>0</v>
      </c>
      <c r="HU43" s="426">
        <v>0</v>
      </c>
      <c r="HV43" s="426">
        <v>0</v>
      </c>
      <c r="HW43" s="426">
        <v>0</v>
      </c>
      <c r="HX43" s="426">
        <v>0</v>
      </c>
      <c r="HY43" s="426">
        <v>0</v>
      </c>
      <c r="HZ43" s="426">
        <v>0</v>
      </c>
      <c r="IA43" s="426">
        <v>0</v>
      </c>
      <c r="IB43" s="426">
        <v>0</v>
      </c>
      <c r="IC43" s="426">
        <v>0</v>
      </c>
      <c r="ID43" s="426">
        <v>0</v>
      </c>
      <c r="IE43" s="426">
        <v>0</v>
      </c>
      <c r="IF43" s="426">
        <v>0</v>
      </c>
      <c r="IG43" s="426">
        <v>0</v>
      </c>
      <c r="IH43" s="426">
        <v>0</v>
      </c>
      <c r="II43" s="426">
        <v>0</v>
      </c>
      <c r="IJ43" s="426">
        <v>0</v>
      </c>
      <c r="IK43" s="426">
        <v>0</v>
      </c>
      <c r="IL43" s="426">
        <v>0</v>
      </c>
      <c r="IM43" s="426">
        <v>0</v>
      </c>
      <c r="IN43" s="426">
        <v>0</v>
      </c>
      <c r="IO43" s="426">
        <v>0</v>
      </c>
      <c r="IP43" s="426">
        <v>0</v>
      </c>
    </row>
    <row r="44" spans="1:250" ht="15">
      <c r="A44" s="357" t="s">
        <v>645</v>
      </c>
      <c r="B44" s="427" t="s">
        <v>776</v>
      </c>
      <c r="C44" s="427"/>
      <c r="D44" s="427"/>
      <c r="E44" s="427"/>
      <c r="F44" s="427">
        <v>2</v>
      </c>
      <c r="G44" s="427"/>
      <c r="H44" s="427">
        <v>59</v>
      </c>
      <c r="I44" s="427"/>
      <c r="J44" t="str">
        <f t="shared" si="0"/>
        <v>CLX100259</v>
      </c>
      <c r="K44" s="427">
        <v>845</v>
      </c>
      <c r="R44" s="357" t="s">
        <v>645</v>
      </c>
      <c r="S44" s="428" t="s">
        <v>776</v>
      </c>
      <c r="T44" s="428">
        <v>2</v>
      </c>
      <c r="U44" s="428">
        <v>59</v>
      </c>
      <c r="V44" s="208" t="str">
        <f t="shared" si="1"/>
        <v>CLX100259</v>
      </c>
      <c r="W44" s="428">
        <v>0</v>
      </c>
      <c r="X44" s="428">
        <v>0</v>
      </c>
      <c r="Y44" s="428">
        <v>0</v>
      </c>
      <c r="Z44" s="428">
        <v>0</v>
      </c>
      <c r="AA44" s="428">
        <v>0</v>
      </c>
      <c r="AB44" s="428">
        <v>0</v>
      </c>
      <c r="AC44" s="428">
        <v>0</v>
      </c>
      <c r="AD44" s="428">
        <v>0</v>
      </c>
      <c r="AE44" s="428">
        <v>0</v>
      </c>
      <c r="AF44" s="428">
        <v>0</v>
      </c>
      <c r="AG44" s="428">
        <v>0</v>
      </c>
      <c r="AH44" s="428">
        <v>0</v>
      </c>
      <c r="AI44" s="428">
        <v>0</v>
      </c>
      <c r="AJ44" s="428">
        <v>0</v>
      </c>
      <c r="AK44" s="428">
        <v>0</v>
      </c>
      <c r="AL44" s="428">
        <v>0</v>
      </c>
      <c r="AM44" s="428">
        <v>0</v>
      </c>
      <c r="AN44" s="428">
        <v>0</v>
      </c>
      <c r="AO44" s="428">
        <v>0</v>
      </c>
      <c r="AP44" s="428">
        <v>0</v>
      </c>
      <c r="AQ44" s="428">
        <v>0</v>
      </c>
      <c r="AR44" s="428">
        <v>0</v>
      </c>
      <c r="AS44" s="428">
        <v>0</v>
      </c>
      <c r="AT44" s="428">
        <v>0</v>
      </c>
      <c r="AU44" s="428">
        <v>0</v>
      </c>
      <c r="AV44" s="428">
        <v>0</v>
      </c>
      <c r="AW44" s="428">
        <v>0</v>
      </c>
      <c r="AX44" s="428">
        <v>0</v>
      </c>
      <c r="AY44" s="428">
        <v>0</v>
      </c>
      <c r="AZ44" s="428">
        <v>0</v>
      </c>
      <c r="BA44" s="428">
        <v>8957</v>
      </c>
      <c r="BB44" s="428">
        <v>0</v>
      </c>
      <c r="BC44" s="428">
        <v>0</v>
      </c>
      <c r="BD44" s="428">
        <v>0</v>
      </c>
      <c r="BE44" s="428">
        <v>0</v>
      </c>
      <c r="BF44" s="428">
        <v>0</v>
      </c>
      <c r="BG44" s="428">
        <v>0</v>
      </c>
      <c r="BH44" s="428">
        <v>0</v>
      </c>
      <c r="BI44" s="428">
        <v>0</v>
      </c>
      <c r="BJ44" s="428">
        <v>0</v>
      </c>
      <c r="BK44" s="428">
        <v>0</v>
      </c>
      <c r="BL44" s="428">
        <v>0</v>
      </c>
      <c r="BM44" s="428">
        <v>0</v>
      </c>
      <c r="BN44" s="428">
        <v>0</v>
      </c>
      <c r="BO44" s="428">
        <v>0</v>
      </c>
      <c r="BP44" s="428">
        <v>0</v>
      </c>
      <c r="BQ44" s="428">
        <v>0</v>
      </c>
      <c r="BR44" s="428">
        <v>0</v>
      </c>
      <c r="BS44" s="428">
        <v>0</v>
      </c>
      <c r="BT44" s="428">
        <v>0</v>
      </c>
      <c r="BU44" s="428">
        <v>0</v>
      </c>
      <c r="BV44" s="428">
        <v>0</v>
      </c>
      <c r="BW44" s="428">
        <v>0</v>
      </c>
      <c r="BX44" s="428">
        <v>0</v>
      </c>
      <c r="BY44" s="428">
        <v>0</v>
      </c>
      <c r="BZ44" s="428">
        <v>0</v>
      </c>
      <c r="CA44" s="428">
        <v>0</v>
      </c>
      <c r="CB44" s="428">
        <v>0</v>
      </c>
      <c r="CC44" s="428">
        <v>0</v>
      </c>
      <c r="CD44" s="428">
        <v>0</v>
      </c>
      <c r="CE44" s="428">
        <v>0</v>
      </c>
      <c r="CF44" s="428">
        <v>0</v>
      </c>
      <c r="CG44" s="428">
        <v>0</v>
      </c>
      <c r="CH44" s="428">
        <v>0</v>
      </c>
      <c r="CI44" s="428">
        <v>0</v>
      </c>
      <c r="CJ44" s="428">
        <v>0</v>
      </c>
      <c r="CK44" s="428">
        <v>0</v>
      </c>
      <c r="CL44" s="428">
        <v>0</v>
      </c>
      <c r="CM44" s="428">
        <v>0</v>
      </c>
      <c r="CN44" s="428">
        <v>0</v>
      </c>
      <c r="CO44" s="428">
        <v>0</v>
      </c>
      <c r="CP44" s="428">
        <v>0</v>
      </c>
      <c r="CQ44" s="428">
        <v>0</v>
      </c>
      <c r="CR44" s="428">
        <v>0</v>
      </c>
      <c r="CS44" s="428">
        <v>0</v>
      </c>
      <c r="CT44" s="428">
        <v>0</v>
      </c>
      <c r="CU44" s="428">
        <v>0</v>
      </c>
      <c r="CV44" s="428">
        <v>0</v>
      </c>
      <c r="CW44" s="428">
        <v>0</v>
      </c>
      <c r="CX44" s="428">
        <v>0</v>
      </c>
      <c r="CY44" s="428">
        <v>0</v>
      </c>
      <c r="CZ44" s="428">
        <v>0</v>
      </c>
      <c r="DA44" s="428">
        <v>0</v>
      </c>
      <c r="DB44" s="428">
        <v>0</v>
      </c>
      <c r="DC44" s="428">
        <v>0</v>
      </c>
      <c r="DD44" s="428">
        <v>0</v>
      </c>
      <c r="DE44" s="428">
        <v>0</v>
      </c>
      <c r="DF44" s="428">
        <v>0</v>
      </c>
      <c r="DG44" s="428">
        <v>0</v>
      </c>
      <c r="DH44" s="428">
        <v>0</v>
      </c>
      <c r="DI44" s="428">
        <v>0</v>
      </c>
      <c r="DJ44" s="428">
        <v>0</v>
      </c>
      <c r="DK44" s="428">
        <v>0</v>
      </c>
      <c r="DL44" s="428">
        <v>0</v>
      </c>
      <c r="DM44" s="428">
        <v>0</v>
      </c>
      <c r="DN44" s="428">
        <v>0</v>
      </c>
      <c r="DO44" s="428">
        <v>0</v>
      </c>
      <c r="DP44" s="428">
        <v>0</v>
      </c>
      <c r="DQ44" s="428">
        <v>0</v>
      </c>
      <c r="DR44" s="428">
        <v>0</v>
      </c>
      <c r="DS44" s="428">
        <v>0</v>
      </c>
      <c r="DT44" s="428">
        <v>0</v>
      </c>
      <c r="DU44" s="428">
        <v>0</v>
      </c>
      <c r="DV44" s="428">
        <v>0</v>
      </c>
      <c r="ED44" s="135"/>
      <c r="EE44" s="357" t="s">
        <v>645</v>
      </c>
      <c r="EF44" s="426" t="s">
        <v>776</v>
      </c>
      <c r="EG44" s="426">
        <v>2</v>
      </c>
      <c r="EH44" s="426">
        <v>59</v>
      </c>
      <c r="EI44" s="208" t="str">
        <f t="shared" si="2"/>
        <v>CLX100259</v>
      </c>
      <c r="EJ44" s="426">
        <v>895.7</v>
      </c>
      <c r="EK44" s="426">
        <v>1791.4</v>
      </c>
      <c r="EL44" s="426">
        <v>2687.1</v>
      </c>
      <c r="EM44" s="426">
        <v>3582.8</v>
      </c>
      <c r="EN44" s="426">
        <v>4478.5</v>
      </c>
      <c r="EO44" s="426">
        <v>5374.2</v>
      </c>
      <c r="EP44" s="426">
        <v>6269.9</v>
      </c>
      <c r="EQ44" s="426">
        <v>7165.6</v>
      </c>
      <c r="ER44" s="426">
        <v>8061.3</v>
      </c>
      <c r="ES44" s="426">
        <v>8957</v>
      </c>
      <c r="ET44" s="426">
        <v>8957</v>
      </c>
      <c r="EU44" s="426">
        <v>8957</v>
      </c>
      <c r="EV44" s="426">
        <v>8957</v>
      </c>
      <c r="EW44" s="426">
        <v>8957</v>
      </c>
      <c r="EX44" s="426">
        <v>8957</v>
      </c>
      <c r="EY44" s="426">
        <v>8957</v>
      </c>
      <c r="EZ44" s="426">
        <v>8957</v>
      </c>
      <c r="FA44" s="426">
        <v>8957</v>
      </c>
      <c r="FB44" s="426">
        <v>8957</v>
      </c>
      <c r="FC44" s="426">
        <v>8957</v>
      </c>
      <c r="FD44" s="426">
        <v>8957</v>
      </c>
      <c r="FE44" s="426">
        <v>8957</v>
      </c>
      <c r="FF44" s="426">
        <v>8957</v>
      </c>
      <c r="FG44" s="426">
        <v>8957</v>
      </c>
      <c r="FH44" s="426">
        <v>8957</v>
      </c>
      <c r="FI44" s="426">
        <v>8957</v>
      </c>
      <c r="FJ44" s="426">
        <v>8957</v>
      </c>
      <c r="FK44" s="426">
        <v>8957</v>
      </c>
      <c r="FL44" s="426">
        <v>8957</v>
      </c>
      <c r="FM44" s="426">
        <v>8957</v>
      </c>
      <c r="FN44" s="426">
        <v>8957</v>
      </c>
      <c r="FO44" s="426">
        <v>0</v>
      </c>
      <c r="FP44" s="426">
        <v>0</v>
      </c>
      <c r="FQ44" s="426">
        <v>0</v>
      </c>
      <c r="FR44" s="426">
        <v>0</v>
      </c>
      <c r="FS44" s="426">
        <v>0</v>
      </c>
      <c r="FT44" s="426">
        <v>0</v>
      </c>
      <c r="FU44" s="426">
        <v>0</v>
      </c>
      <c r="FV44" s="426">
        <v>0</v>
      </c>
      <c r="FW44" s="426">
        <v>0</v>
      </c>
      <c r="FX44" s="426">
        <v>0</v>
      </c>
      <c r="FY44" s="426">
        <v>0</v>
      </c>
      <c r="FZ44" s="426">
        <v>0</v>
      </c>
      <c r="GA44" s="426">
        <v>0</v>
      </c>
      <c r="GB44" s="426">
        <v>0</v>
      </c>
      <c r="GC44" s="426">
        <v>0</v>
      </c>
      <c r="GD44" s="426">
        <v>0</v>
      </c>
      <c r="GE44" s="426">
        <v>0</v>
      </c>
      <c r="GF44" s="426">
        <v>0</v>
      </c>
      <c r="GG44" s="426">
        <v>0</v>
      </c>
      <c r="GH44" s="426">
        <v>0</v>
      </c>
      <c r="GI44" s="426">
        <v>0</v>
      </c>
      <c r="GJ44" s="426">
        <v>0</v>
      </c>
      <c r="GK44" s="426">
        <v>0</v>
      </c>
      <c r="GL44" s="426">
        <v>0</v>
      </c>
      <c r="GM44" s="426">
        <v>0</v>
      </c>
      <c r="GN44" s="426">
        <v>0</v>
      </c>
      <c r="GO44" s="426">
        <v>0</v>
      </c>
      <c r="GP44" s="426">
        <v>0</v>
      </c>
      <c r="GQ44" s="426">
        <v>0</v>
      </c>
      <c r="GR44" s="426">
        <v>0</v>
      </c>
      <c r="GS44" s="426">
        <v>0</v>
      </c>
      <c r="GT44" s="426">
        <v>0</v>
      </c>
      <c r="GU44" s="426">
        <v>0</v>
      </c>
      <c r="GV44" s="426">
        <v>0</v>
      </c>
      <c r="GW44" s="426">
        <v>0</v>
      </c>
      <c r="GX44" s="426">
        <v>0</v>
      </c>
      <c r="GY44" s="426">
        <v>0</v>
      </c>
      <c r="GZ44" s="426">
        <v>0</v>
      </c>
      <c r="HA44" s="426">
        <v>0</v>
      </c>
      <c r="HB44" s="426">
        <v>0</v>
      </c>
      <c r="HC44" s="426">
        <v>0</v>
      </c>
      <c r="HD44" s="426">
        <v>0</v>
      </c>
      <c r="HE44" s="426">
        <v>0</v>
      </c>
      <c r="HF44" s="426">
        <v>0</v>
      </c>
      <c r="HG44" s="426">
        <v>0</v>
      </c>
      <c r="HH44" s="426">
        <v>0</v>
      </c>
      <c r="HI44" s="426">
        <v>0</v>
      </c>
      <c r="HJ44" s="426">
        <v>0</v>
      </c>
      <c r="HK44" s="426">
        <v>0</v>
      </c>
      <c r="HL44" s="426">
        <v>0</v>
      </c>
      <c r="HM44" s="426">
        <v>0</v>
      </c>
      <c r="HN44" s="426">
        <v>0</v>
      </c>
      <c r="HO44" s="426">
        <v>0</v>
      </c>
      <c r="HP44" s="426">
        <v>0</v>
      </c>
      <c r="HQ44" s="426">
        <v>0</v>
      </c>
      <c r="HR44" s="426">
        <v>0</v>
      </c>
      <c r="HS44" s="426">
        <v>0</v>
      </c>
      <c r="HT44" s="426">
        <v>0</v>
      </c>
      <c r="HU44" s="426">
        <v>0</v>
      </c>
      <c r="HV44" s="426">
        <v>0</v>
      </c>
      <c r="HW44" s="426">
        <v>0</v>
      </c>
      <c r="HX44" s="426">
        <v>0</v>
      </c>
      <c r="HY44" s="426">
        <v>0</v>
      </c>
      <c r="HZ44" s="426">
        <v>0</v>
      </c>
      <c r="IA44" s="426">
        <v>0</v>
      </c>
      <c r="IB44" s="426">
        <v>0</v>
      </c>
      <c r="IC44" s="426">
        <v>0</v>
      </c>
      <c r="ID44" s="426">
        <v>0</v>
      </c>
      <c r="IE44" s="426">
        <v>0</v>
      </c>
      <c r="IF44" s="426">
        <v>0</v>
      </c>
      <c r="IG44" s="426">
        <v>0</v>
      </c>
      <c r="IH44" s="426">
        <v>0</v>
      </c>
      <c r="II44" s="426">
        <v>0</v>
      </c>
      <c r="IJ44" s="426">
        <v>0</v>
      </c>
      <c r="IK44" s="426">
        <v>0</v>
      </c>
      <c r="IL44" s="426">
        <v>0</v>
      </c>
      <c r="IM44" s="426">
        <v>0</v>
      </c>
      <c r="IN44" s="426">
        <v>0</v>
      </c>
      <c r="IO44" s="426">
        <v>0</v>
      </c>
      <c r="IP44" s="426">
        <v>0</v>
      </c>
    </row>
    <row r="45" spans="1:250" ht="15">
      <c r="A45" s="357" t="s">
        <v>645</v>
      </c>
      <c r="B45" s="427" t="s">
        <v>776</v>
      </c>
      <c r="C45" s="427"/>
      <c r="D45" s="427"/>
      <c r="E45" s="427"/>
      <c r="F45" s="427">
        <v>2</v>
      </c>
      <c r="G45" s="427"/>
      <c r="H45" s="427">
        <v>60</v>
      </c>
      <c r="I45" s="427"/>
      <c r="J45" t="str">
        <f t="shared" si="0"/>
        <v>CLX100260</v>
      </c>
      <c r="K45" s="427">
        <v>880</v>
      </c>
      <c r="R45" s="357" t="s">
        <v>645</v>
      </c>
      <c r="S45" s="428" t="s">
        <v>776</v>
      </c>
      <c r="T45" s="428">
        <v>2</v>
      </c>
      <c r="U45" s="428">
        <v>60</v>
      </c>
      <c r="V45" s="208" t="str">
        <f t="shared" si="1"/>
        <v>CLX100260</v>
      </c>
      <c r="W45" s="428">
        <v>0</v>
      </c>
      <c r="X45" s="428">
        <v>0</v>
      </c>
      <c r="Y45" s="428">
        <v>0</v>
      </c>
      <c r="Z45" s="428">
        <v>0</v>
      </c>
      <c r="AA45" s="428">
        <v>0</v>
      </c>
      <c r="AB45" s="428">
        <v>0</v>
      </c>
      <c r="AC45" s="428">
        <v>0</v>
      </c>
      <c r="AD45" s="428">
        <v>0</v>
      </c>
      <c r="AE45" s="428">
        <v>0</v>
      </c>
      <c r="AF45" s="428">
        <v>0</v>
      </c>
      <c r="AG45" s="428">
        <v>0</v>
      </c>
      <c r="AH45" s="428">
        <v>0</v>
      </c>
      <c r="AI45" s="428">
        <v>0</v>
      </c>
      <c r="AJ45" s="428">
        <v>0</v>
      </c>
      <c r="AK45" s="428">
        <v>0</v>
      </c>
      <c r="AL45" s="428">
        <v>0</v>
      </c>
      <c r="AM45" s="428">
        <v>0</v>
      </c>
      <c r="AN45" s="428">
        <v>0</v>
      </c>
      <c r="AO45" s="428">
        <v>0</v>
      </c>
      <c r="AP45" s="428">
        <v>0</v>
      </c>
      <c r="AQ45" s="428">
        <v>0</v>
      </c>
      <c r="AR45" s="428">
        <v>0</v>
      </c>
      <c r="AS45" s="428">
        <v>0</v>
      </c>
      <c r="AT45" s="428">
        <v>0</v>
      </c>
      <c r="AU45" s="428">
        <v>0</v>
      </c>
      <c r="AV45" s="428">
        <v>0</v>
      </c>
      <c r="AW45" s="428">
        <v>0</v>
      </c>
      <c r="AX45" s="428">
        <v>0</v>
      </c>
      <c r="AY45" s="428">
        <v>0</v>
      </c>
      <c r="AZ45" s="428">
        <v>9328</v>
      </c>
      <c r="BA45" s="428">
        <v>0</v>
      </c>
      <c r="BB45" s="428">
        <v>0</v>
      </c>
      <c r="BC45" s="428">
        <v>0</v>
      </c>
      <c r="BD45" s="428">
        <v>0</v>
      </c>
      <c r="BE45" s="428">
        <v>0</v>
      </c>
      <c r="BF45" s="428">
        <v>0</v>
      </c>
      <c r="BG45" s="428">
        <v>0</v>
      </c>
      <c r="BH45" s="428">
        <v>0</v>
      </c>
      <c r="BI45" s="428">
        <v>0</v>
      </c>
      <c r="BJ45" s="428">
        <v>0</v>
      </c>
      <c r="BK45" s="428">
        <v>0</v>
      </c>
      <c r="BL45" s="428">
        <v>0</v>
      </c>
      <c r="BM45" s="428">
        <v>0</v>
      </c>
      <c r="BN45" s="428">
        <v>0</v>
      </c>
      <c r="BO45" s="428">
        <v>0</v>
      </c>
      <c r="BP45" s="428">
        <v>0</v>
      </c>
      <c r="BQ45" s="428">
        <v>0</v>
      </c>
      <c r="BR45" s="428">
        <v>0</v>
      </c>
      <c r="BS45" s="428">
        <v>0</v>
      </c>
      <c r="BT45" s="428">
        <v>0</v>
      </c>
      <c r="BU45" s="428">
        <v>0</v>
      </c>
      <c r="BV45" s="428">
        <v>0</v>
      </c>
      <c r="BW45" s="428">
        <v>0</v>
      </c>
      <c r="BX45" s="428">
        <v>0</v>
      </c>
      <c r="BY45" s="428">
        <v>0</v>
      </c>
      <c r="BZ45" s="428">
        <v>0</v>
      </c>
      <c r="CA45" s="428">
        <v>0</v>
      </c>
      <c r="CB45" s="428">
        <v>0</v>
      </c>
      <c r="CC45" s="428">
        <v>0</v>
      </c>
      <c r="CD45" s="428">
        <v>0</v>
      </c>
      <c r="CE45" s="428">
        <v>0</v>
      </c>
      <c r="CF45" s="428">
        <v>0</v>
      </c>
      <c r="CG45" s="428">
        <v>0</v>
      </c>
      <c r="CH45" s="428">
        <v>0</v>
      </c>
      <c r="CI45" s="428">
        <v>0</v>
      </c>
      <c r="CJ45" s="428">
        <v>0</v>
      </c>
      <c r="CK45" s="428">
        <v>0</v>
      </c>
      <c r="CL45" s="428">
        <v>0</v>
      </c>
      <c r="CM45" s="428">
        <v>0</v>
      </c>
      <c r="CN45" s="428">
        <v>0</v>
      </c>
      <c r="CO45" s="428">
        <v>0</v>
      </c>
      <c r="CP45" s="428">
        <v>0</v>
      </c>
      <c r="CQ45" s="428">
        <v>0</v>
      </c>
      <c r="CR45" s="428">
        <v>0</v>
      </c>
      <c r="CS45" s="428">
        <v>0</v>
      </c>
      <c r="CT45" s="428">
        <v>0</v>
      </c>
      <c r="CU45" s="428">
        <v>0</v>
      </c>
      <c r="CV45" s="428">
        <v>0</v>
      </c>
      <c r="CW45" s="428">
        <v>0</v>
      </c>
      <c r="CX45" s="428">
        <v>0</v>
      </c>
      <c r="CY45" s="428">
        <v>0</v>
      </c>
      <c r="CZ45" s="428">
        <v>0</v>
      </c>
      <c r="DA45" s="428">
        <v>0</v>
      </c>
      <c r="DB45" s="428">
        <v>0</v>
      </c>
      <c r="DC45" s="428">
        <v>0</v>
      </c>
      <c r="DD45" s="428">
        <v>0</v>
      </c>
      <c r="DE45" s="428">
        <v>0</v>
      </c>
      <c r="DF45" s="428">
        <v>0</v>
      </c>
      <c r="DG45" s="428">
        <v>0</v>
      </c>
      <c r="DH45" s="428">
        <v>0</v>
      </c>
      <c r="DI45" s="428">
        <v>0</v>
      </c>
      <c r="DJ45" s="428">
        <v>0</v>
      </c>
      <c r="DK45" s="428">
        <v>0</v>
      </c>
      <c r="DL45" s="428">
        <v>0</v>
      </c>
      <c r="DM45" s="428">
        <v>0</v>
      </c>
      <c r="DN45" s="428">
        <v>0</v>
      </c>
      <c r="DO45" s="428">
        <v>0</v>
      </c>
      <c r="DP45" s="428">
        <v>0</v>
      </c>
      <c r="DQ45" s="428">
        <v>0</v>
      </c>
      <c r="DR45" s="428">
        <v>0</v>
      </c>
      <c r="DS45" s="428">
        <v>0</v>
      </c>
      <c r="DT45" s="428">
        <v>0</v>
      </c>
      <c r="DU45" s="428">
        <v>0</v>
      </c>
      <c r="DV45" s="428">
        <v>0</v>
      </c>
      <c r="ED45" s="135"/>
      <c r="EE45" s="357" t="s">
        <v>645</v>
      </c>
      <c r="EF45" s="426" t="s">
        <v>776</v>
      </c>
      <c r="EG45" s="426">
        <v>2</v>
      </c>
      <c r="EH45" s="426">
        <v>60</v>
      </c>
      <c r="EI45" s="208" t="str">
        <f t="shared" si="2"/>
        <v>CLX100260</v>
      </c>
      <c r="EJ45" s="426">
        <v>932.8</v>
      </c>
      <c r="EK45" s="426">
        <v>1865.6</v>
      </c>
      <c r="EL45" s="426">
        <v>2798.4</v>
      </c>
      <c r="EM45" s="426">
        <v>3731.2</v>
      </c>
      <c r="EN45" s="426">
        <v>4664</v>
      </c>
      <c r="EO45" s="426">
        <v>5596.8</v>
      </c>
      <c r="EP45" s="426">
        <v>6529.6</v>
      </c>
      <c r="EQ45" s="426">
        <v>7462.4</v>
      </c>
      <c r="ER45" s="426">
        <v>8395.2000000000007</v>
      </c>
      <c r="ES45" s="426">
        <v>9328</v>
      </c>
      <c r="ET45" s="426">
        <v>9328</v>
      </c>
      <c r="EU45" s="426">
        <v>9328</v>
      </c>
      <c r="EV45" s="426">
        <v>9328</v>
      </c>
      <c r="EW45" s="426">
        <v>9328</v>
      </c>
      <c r="EX45" s="426">
        <v>9328</v>
      </c>
      <c r="EY45" s="426">
        <v>9328</v>
      </c>
      <c r="EZ45" s="426">
        <v>9328</v>
      </c>
      <c r="FA45" s="426">
        <v>9328</v>
      </c>
      <c r="FB45" s="426">
        <v>9328</v>
      </c>
      <c r="FC45" s="426">
        <v>9328</v>
      </c>
      <c r="FD45" s="426">
        <v>9328</v>
      </c>
      <c r="FE45" s="426">
        <v>9328</v>
      </c>
      <c r="FF45" s="426">
        <v>9328</v>
      </c>
      <c r="FG45" s="426">
        <v>9328</v>
      </c>
      <c r="FH45" s="426">
        <v>9328</v>
      </c>
      <c r="FI45" s="426">
        <v>9328</v>
      </c>
      <c r="FJ45" s="426">
        <v>9328</v>
      </c>
      <c r="FK45" s="426">
        <v>9328</v>
      </c>
      <c r="FL45" s="426">
        <v>9328</v>
      </c>
      <c r="FM45" s="426">
        <v>9328</v>
      </c>
      <c r="FN45" s="426">
        <v>0</v>
      </c>
      <c r="FO45" s="426">
        <v>0</v>
      </c>
      <c r="FP45" s="426">
        <v>0</v>
      </c>
      <c r="FQ45" s="426">
        <v>0</v>
      </c>
      <c r="FR45" s="426">
        <v>0</v>
      </c>
      <c r="FS45" s="426">
        <v>0</v>
      </c>
      <c r="FT45" s="426">
        <v>0</v>
      </c>
      <c r="FU45" s="426">
        <v>0</v>
      </c>
      <c r="FV45" s="426">
        <v>0</v>
      </c>
      <c r="FW45" s="426">
        <v>0</v>
      </c>
      <c r="FX45" s="426">
        <v>0</v>
      </c>
      <c r="FY45" s="426">
        <v>0</v>
      </c>
      <c r="FZ45" s="426">
        <v>0</v>
      </c>
      <c r="GA45" s="426">
        <v>0</v>
      </c>
      <c r="GB45" s="426">
        <v>0</v>
      </c>
      <c r="GC45" s="426">
        <v>0</v>
      </c>
      <c r="GD45" s="426">
        <v>0</v>
      </c>
      <c r="GE45" s="426">
        <v>0</v>
      </c>
      <c r="GF45" s="426">
        <v>0</v>
      </c>
      <c r="GG45" s="426">
        <v>0</v>
      </c>
      <c r="GH45" s="426">
        <v>0</v>
      </c>
      <c r="GI45" s="426">
        <v>0</v>
      </c>
      <c r="GJ45" s="426">
        <v>0</v>
      </c>
      <c r="GK45" s="426">
        <v>0</v>
      </c>
      <c r="GL45" s="426">
        <v>0</v>
      </c>
      <c r="GM45" s="426">
        <v>0</v>
      </c>
      <c r="GN45" s="426">
        <v>0</v>
      </c>
      <c r="GO45" s="426">
        <v>0</v>
      </c>
      <c r="GP45" s="426">
        <v>0</v>
      </c>
      <c r="GQ45" s="426">
        <v>0</v>
      </c>
      <c r="GR45" s="426">
        <v>0</v>
      </c>
      <c r="GS45" s="426">
        <v>0</v>
      </c>
      <c r="GT45" s="426">
        <v>0</v>
      </c>
      <c r="GU45" s="426">
        <v>0</v>
      </c>
      <c r="GV45" s="426">
        <v>0</v>
      </c>
      <c r="GW45" s="426">
        <v>0</v>
      </c>
      <c r="GX45" s="426">
        <v>0</v>
      </c>
      <c r="GY45" s="426">
        <v>0</v>
      </c>
      <c r="GZ45" s="426">
        <v>0</v>
      </c>
      <c r="HA45" s="426">
        <v>0</v>
      </c>
      <c r="HB45" s="426">
        <v>0</v>
      </c>
      <c r="HC45" s="426">
        <v>0</v>
      </c>
      <c r="HD45" s="426">
        <v>0</v>
      </c>
      <c r="HE45" s="426">
        <v>0</v>
      </c>
      <c r="HF45" s="426">
        <v>0</v>
      </c>
      <c r="HG45" s="426">
        <v>0</v>
      </c>
      <c r="HH45" s="426">
        <v>0</v>
      </c>
      <c r="HI45" s="426">
        <v>0</v>
      </c>
      <c r="HJ45" s="426">
        <v>0</v>
      </c>
      <c r="HK45" s="426">
        <v>0</v>
      </c>
      <c r="HL45" s="426">
        <v>0</v>
      </c>
      <c r="HM45" s="426">
        <v>0</v>
      </c>
      <c r="HN45" s="426">
        <v>0</v>
      </c>
      <c r="HO45" s="426">
        <v>0</v>
      </c>
      <c r="HP45" s="426">
        <v>0</v>
      </c>
      <c r="HQ45" s="426">
        <v>0</v>
      </c>
      <c r="HR45" s="426">
        <v>0</v>
      </c>
      <c r="HS45" s="426">
        <v>0</v>
      </c>
      <c r="HT45" s="426">
        <v>0</v>
      </c>
      <c r="HU45" s="426">
        <v>0</v>
      </c>
      <c r="HV45" s="426">
        <v>0</v>
      </c>
      <c r="HW45" s="426">
        <v>0</v>
      </c>
      <c r="HX45" s="426">
        <v>0</v>
      </c>
      <c r="HY45" s="426">
        <v>0</v>
      </c>
      <c r="HZ45" s="426">
        <v>0</v>
      </c>
      <c r="IA45" s="426">
        <v>0</v>
      </c>
      <c r="IB45" s="426">
        <v>0</v>
      </c>
      <c r="IC45" s="426">
        <v>0</v>
      </c>
      <c r="ID45" s="426">
        <v>0</v>
      </c>
      <c r="IE45" s="426">
        <v>0</v>
      </c>
      <c r="IF45" s="426">
        <v>0</v>
      </c>
      <c r="IG45" s="426">
        <v>0</v>
      </c>
      <c r="IH45" s="426">
        <v>0</v>
      </c>
      <c r="II45" s="426">
        <v>0</v>
      </c>
      <c r="IJ45" s="426">
        <v>0</v>
      </c>
      <c r="IK45" s="426">
        <v>0</v>
      </c>
      <c r="IL45" s="426">
        <v>0</v>
      </c>
      <c r="IM45" s="426">
        <v>0</v>
      </c>
      <c r="IN45" s="426">
        <v>0</v>
      </c>
      <c r="IO45" s="426">
        <v>0</v>
      </c>
      <c r="IP45" s="426">
        <v>0</v>
      </c>
    </row>
    <row r="46" spans="1:250" ht="15">
      <c r="A46" s="357" t="s">
        <v>645</v>
      </c>
      <c r="B46" s="427" t="s">
        <v>777</v>
      </c>
      <c r="C46" s="427"/>
      <c r="D46" s="427"/>
      <c r="E46" s="427"/>
      <c r="F46" s="427">
        <v>2</v>
      </c>
      <c r="G46" s="427"/>
      <c r="H46" s="427">
        <v>18</v>
      </c>
      <c r="I46" s="427"/>
      <c r="J46" t="str">
        <f t="shared" si="0"/>
        <v>CLX200218</v>
      </c>
      <c r="K46" s="427">
        <v>230</v>
      </c>
      <c r="R46" s="357" t="s">
        <v>645</v>
      </c>
      <c r="S46" s="428" t="s">
        <v>777</v>
      </c>
      <c r="T46" s="428">
        <v>2</v>
      </c>
      <c r="U46" s="428">
        <v>18</v>
      </c>
      <c r="V46" s="208" t="str">
        <f t="shared" si="1"/>
        <v>CLX200218</v>
      </c>
      <c r="W46" s="428">
        <v>0</v>
      </c>
      <c r="X46" s="428">
        <v>0</v>
      </c>
      <c r="Y46" s="428">
        <v>0</v>
      </c>
      <c r="Z46" s="428">
        <v>0</v>
      </c>
      <c r="AA46" s="428">
        <v>0</v>
      </c>
      <c r="AB46" s="428">
        <v>0</v>
      </c>
      <c r="AC46" s="428">
        <v>0</v>
      </c>
      <c r="AD46" s="428">
        <v>0</v>
      </c>
      <c r="AE46" s="428">
        <v>0</v>
      </c>
      <c r="AF46" s="428">
        <v>0</v>
      </c>
      <c r="AG46" s="428">
        <v>0</v>
      </c>
      <c r="AH46" s="428">
        <v>0</v>
      </c>
      <c r="AI46" s="428">
        <v>0</v>
      </c>
      <c r="AJ46" s="428">
        <v>0</v>
      </c>
      <c r="AK46" s="428">
        <v>0</v>
      </c>
      <c r="AL46" s="428">
        <v>0</v>
      </c>
      <c r="AM46" s="428">
        <v>0</v>
      </c>
      <c r="AN46" s="428">
        <v>0</v>
      </c>
      <c r="AO46" s="428">
        <v>0</v>
      </c>
      <c r="AP46" s="428">
        <v>0</v>
      </c>
      <c r="AQ46" s="428">
        <v>0</v>
      </c>
      <c r="AR46" s="428">
        <v>0</v>
      </c>
      <c r="AS46" s="428">
        <v>0</v>
      </c>
      <c r="AT46" s="428">
        <v>0</v>
      </c>
      <c r="AU46" s="428">
        <v>0</v>
      </c>
      <c r="AV46" s="428">
        <v>0</v>
      </c>
      <c r="AW46" s="428">
        <v>0</v>
      </c>
      <c r="AX46" s="428">
        <v>0</v>
      </c>
      <c r="AY46" s="428">
        <v>0</v>
      </c>
      <c r="AZ46" s="428">
        <v>0</v>
      </c>
      <c r="BA46" s="428">
        <v>0</v>
      </c>
      <c r="BB46" s="428">
        <v>0</v>
      </c>
      <c r="BC46" s="428">
        <v>0</v>
      </c>
      <c r="BD46" s="428">
        <v>0</v>
      </c>
      <c r="BE46" s="428">
        <v>0</v>
      </c>
      <c r="BF46" s="428">
        <v>0</v>
      </c>
      <c r="BG46" s="428">
        <v>0</v>
      </c>
      <c r="BH46" s="428">
        <v>0</v>
      </c>
      <c r="BI46" s="428">
        <v>0</v>
      </c>
      <c r="BJ46" s="428">
        <v>0</v>
      </c>
      <c r="BK46" s="428">
        <v>0</v>
      </c>
      <c r="BL46" s="428">
        <v>0</v>
      </c>
      <c r="BM46" s="428">
        <v>0</v>
      </c>
      <c r="BN46" s="428">
        <v>0</v>
      </c>
      <c r="BO46" s="428">
        <v>0</v>
      </c>
      <c r="BP46" s="428">
        <v>0</v>
      </c>
      <c r="BQ46" s="428">
        <v>0</v>
      </c>
      <c r="BR46" s="428">
        <v>0</v>
      </c>
      <c r="BS46" s="428">
        <v>0</v>
      </c>
      <c r="BT46" s="428">
        <v>0</v>
      </c>
      <c r="BU46" s="428">
        <v>0</v>
      </c>
      <c r="BV46" s="428">
        <v>0</v>
      </c>
      <c r="BW46" s="428">
        <v>0</v>
      </c>
      <c r="BX46" s="428">
        <v>0</v>
      </c>
      <c r="BY46" s="428">
        <v>0</v>
      </c>
      <c r="BZ46" s="428">
        <v>0</v>
      </c>
      <c r="CA46" s="428">
        <v>0</v>
      </c>
      <c r="CB46" s="428">
        <v>0</v>
      </c>
      <c r="CC46" s="428">
        <v>0</v>
      </c>
      <c r="CD46" s="428">
        <v>0</v>
      </c>
      <c r="CE46" s="428">
        <v>0</v>
      </c>
      <c r="CF46" s="428">
        <v>0</v>
      </c>
      <c r="CG46" s="428">
        <v>0</v>
      </c>
      <c r="CH46" s="428">
        <v>0</v>
      </c>
      <c r="CI46" s="428">
        <v>0</v>
      </c>
      <c r="CJ46" s="428">
        <v>0</v>
      </c>
      <c r="CK46" s="428">
        <v>0</v>
      </c>
      <c r="CL46" s="428">
        <v>0</v>
      </c>
      <c r="CM46" s="428">
        <v>0</v>
      </c>
      <c r="CN46" s="428">
        <v>0</v>
      </c>
      <c r="CO46" s="428">
        <v>0</v>
      </c>
      <c r="CP46" s="428">
        <v>4876</v>
      </c>
      <c r="CQ46" s="428">
        <v>0</v>
      </c>
      <c r="CR46" s="428">
        <v>0</v>
      </c>
      <c r="CS46" s="428">
        <v>0</v>
      </c>
      <c r="CT46" s="428">
        <v>0</v>
      </c>
      <c r="CU46" s="428">
        <v>0</v>
      </c>
      <c r="CV46" s="428">
        <v>0</v>
      </c>
      <c r="CW46" s="428">
        <v>0</v>
      </c>
      <c r="CX46" s="428">
        <v>0</v>
      </c>
      <c r="CY46" s="428">
        <v>0</v>
      </c>
      <c r="CZ46" s="428">
        <v>0</v>
      </c>
      <c r="DA46" s="428">
        <v>0</v>
      </c>
      <c r="DB46" s="428">
        <v>0</v>
      </c>
      <c r="DC46" s="428">
        <v>0</v>
      </c>
      <c r="DD46" s="428">
        <v>0</v>
      </c>
      <c r="DE46" s="428">
        <v>0</v>
      </c>
      <c r="DF46" s="428">
        <v>0</v>
      </c>
      <c r="DG46" s="428">
        <v>0</v>
      </c>
      <c r="DH46" s="428">
        <v>0</v>
      </c>
      <c r="DI46" s="428">
        <v>0</v>
      </c>
      <c r="DJ46" s="428">
        <v>0</v>
      </c>
      <c r="DK46" s="428">
        <v>0</v>
      </c>
      <c r="DL46" s="428">
        <v>0</v>
      </c>
      <c r="DM46" s="428">
        <v>0</v>
      </c>
      <c r="DN46" s="428">
        <v>0</v>
      </c>
      <c r="DO46" s="428">
        <v>0</v>
      </c>
      <c r="DP46" s="428">
        <v>0</v>
      </c>
      <c r="DQ46" s="428">
        <v>0</v>
      </c>
      <c r="DR46" s="428">
        <v>0</v>
      </c>
      <c r="DS46" s="428">
        <v>0</v>
      </c>
      <c r="DT46" s="428">
        <v>0</v>
      </c>
      <c r="DU46" s="428">
        <v>0</v>
      </c>
      <c r="DV46" s="428">
        <v>0</v>
      </c>
      <c r="ED46" s="135"/>
      <c r="EE46" s="357" t="s">
        <v>645</v>
      </c>
      <c r="EF46" s="426" t="s">
        <v>777</v>
      </c>
      <c r="EG46" s="426">
        <v>2</v>
      </c>
      <c r="EH46" s="426">
        <v>18</v>
      </c>
      <c r="EI46" s="208" t="str">
        <f t="shared" si="2"/>
        <v>CLX200218</v>
      </c>
      <c r="EJ46" s="426">
        <v>243.8</v>
      </c>
      <c r="EK46" s="426">
        <v>487.6</v>
      </c>
      <c r="EL46" s="426">
        <v>731.4</v>
      </c>
      <c r="EM46" s="426">
        <v>975.2</v>
      </c>
      <c r="EN46" s="426">
        <v>1219</v>
      </c>
      <c r="EO46" s="426">
        <v>1462.8</v>
      </c>
      <c r="EP46" s="426">
        <v>1706.6</v>
      </c>
      <c r="EQ46" s="426">
        <v>1950.4</v>
      </c>
      <c r="ER46" s="426">
        <v>2194.1999999999998</v>
      </c>
      <c r="ES46" s="426">
        <v>2438</v>
      </c>
      <c r="ET46" s="426">
        <v>2681.8</v>
      </c>
      <c r="EU46" s="426">
        <v>2925.6</v>
      </c>
      <c r="EV46" s="426">
        <v>3169.4</v>
      </c>
      <c r="EW46" s="426">
        <v>3413.2</v>
      </c>
      <c r="EX46" s="426">
        <v>3657</v>
      </c>
      <c r="EY46" s="426">
        <v>3900.8</v>
      </c>
      <c r="EZ46" s="426">
        <v>4144.6000000000004</v>
      </c>
      <c r="FA46" s="426">
        <v>4388.3999999999996</v>
      </c>
      <c r="FB46" s="426">
        <v>4632.2</v>
      </c>
      <c r="FC46" s="426">
        <v>4876</v>
      </c>
      <c r="FD46" s="426">
        <v>4876</v>
      </c>
      <c r="FE46" s="426">
        <v>4876</v>
      </c>
      <c r="FF46" s="426">
        <v>4876</v>
      </c>
      <c r="FG46" s="426">
        <v>4876</v>
      </c>
      <c r="FH46" s="426">
        <v>4876</v>
      </c>
      <c r="FI46" s="426">
        <v>4876</v>
      </c>
      <c r="FJ46" s="426">
        <v>4876</v>
      </c>
      <c r="FK46" s="426">
        <v>4876</v>
      </c>
      <c r="FL46" s="426">
        <v>4876</v>
      </c>
      <c r="FM46" s="426">
        <v>4876</v>
      </c>
      <c r="FN46" s="426">
        <v>4876</v>
      </c>
      <c r="FO46" s="426">
        <v>4876</v>
      </c>
      <c r="FP46" s="426">
        <v>4876</v>
      </c>
      <c r="FQ46" s="426">
        <v>4876</v>
      </c>
      <c r="FR46" s="426">
        <v>4876</v>
      </c>
      <c r="FS46" s="426">
        <v>4876</v>
      </c>
      <c r="FT46" s="426">
        <v>4876</v>
      </c>
      <c r="FU46" s="426">
        <v>4876</v>
      </c>
      <c r="FV46" s="426">
        <v>4876</v>
      </c>
      <c r="FW46" s="426">
        <v>4876</v>
      </c>
      <c r="FX46" s="426">
        <v>4876</v>
      </c>
      <c r="FY46" s="426">
        <v>4876</v>
      </c>
      <c r="FZ46" s="426">
        <v>4876</v>
      </c>
      <c r="GA46" s="426">
        <v>4876</v>
      </c>
      <c r="GB46" s="426">
        <v>4876</v>
      </c>
      <c r="GC46" s="426">
        <v>4876</v>
      </c>
      <c r="GD46" s="426">
        <v>4876</v>
      </c>
      <c r="GE46" s="426">
        <v>4876</v>
      </c>
      <c r="GF46" s="426">
        <v>4876</v>
      </c>
      <c r="GG46" s="426">
        <v>4876</v>
      </c>
      <c r="GH46" s="426">
        <v>4876</v>
      </c>
      <c r="GI46" s="426">
        <v>4876</v>
      </c>
      <c r="GJ46" s="426">
        <v>4876</v>
      </c>
      <c r="GK46" s="426">
        <v>4876</v>
      </c>
      <c r="GL46" s="426">
        <v>4876</v>
      </c>
      <c r="GM46" s="426">
        <v>4876</v>
      </c>
      <c r="GN46" s="426">
        <v>4876</v>
      </c>
      <c r="GO46" s="426">
        <v>4876</v>
      </c>
      <c r="GP46" s="426">
        <v>4876</v>
      </c>
      <c r="GQ46" s="426">
        <v>4876</v>
      </c>
      <c r="GR46" s="426">
        <v>4876</v>
      </c>
      <c r="GS46" s="426">
        <v>4876</v>
      </c>
      <c r="GT46" s="426">
        <v>4876</v>
      </c>
      <c r="GU46" s="426">
        <v>4876</v>
      </c>
      <c r="GV46" s="426">
        <v>4876</v>
      </c>
      <c r="GW46" s="426">
        <v>4876</v>
      </c>
      <c r="GX46" s="426">
        <v>4876</v>
      </c>
      <c r="GY46" s="426">
        <v>4876</v>
      </c>
      <c r="GZ46" s="426">
        <v>4876</v>
      </c>
      <c r="HA46" s="426">
        <v>4876</v>
      </c>
      <c r="HB46" s="426">
        <v>4876</v>
      </c>
      <c r="HC46" s="426">
        <v>4876</v>
      </c>
      <c r="HD46" s="426">
        <v>0</v>
      </c>
      <c r="HE46" s="426">
        <v>0</v>
      </c>
      <c r="HF46" s="426">
        <v>0</v>
      </c>
      <c r="HG46" s="426">
        <v>0</v>
      </c>
      <c r="HH46" s="426">
        <v>0</v>
      </c>
      <c r="HI46" s="426">
        <v>0</v>
      </c>
      <c r="HJ46" s="426">
        <v>0</v>
      </c>
      <c r="HK46" s="426">
        <v>0</v>
      </c>
      <c r="HL46" s="426">
        <v>0</v>
      </c>
      <c r="HM46" s="426">
        <v>0</v>
      </c>
      <c r="HN46" s="426">
        <v>0</v>
      </c>
      <c r="HO46" s="426">
        <v>0</v>
      </c>
      <c r="HP46" s="426">
        <v>0</v>
      </c>
      <c r="HQ46" s="426">
        <v>0</v>
      </c>
      <c r="HR46" s="426">
        <v>0</v>
      </c>
      <c r="HS46" s="426">
        <v>0</v>
      </c>
      <c r="HT46" s="426">
        <v>0</v>
      </c>
      <c r="HU46" s="426">
        <v>0</v>
      </c>
      <c r="HV46" s="426">
        <v>0</v>
      </c>
      <c r="HW46" s="426">
        <v>0</v>
      </c>
      <c r="HX46" s="426">
        <v>0</v>
      </c>
      <c r="HY46" s="426">
        <v>0</v>
      </c>
      <c r="HZ46" s="426">
        <v>0</v>
      </c>
      <c r="IA46" s="426">
        <v>0</v>
      </c>
      <c r="IB46" s="426">
        <v>0</v>
      </c>
      <c r="IC46" s="426">
        <v>0</v>
      </c>
      <c r="ID46" s="426">
        <v>0</v>
      </c>
      <c r="IE46" s="426">
        <v>0</v>
      </c>
      <c r="IF46" s="426">
        <v>0</v>
      </c>
      <c r="IG46" s="426">
        <v>0</v>
      </c>
      <c r="IH46" s="426">
        <v>0</v>
      </c>
      <c r="II46" s="426">
        <v>0</v>
      </c>
      <c r="IJ46" s="426">
        <v>0</v>
      </c>
      <c r="IK46" s="426">
        <v>0</v>
      </c>
      <c r="IL46" s="426">
        <v>0</v>
      </c>
      <c r="IM46" s="426">
        <v>0</v>
      </c>
      <c r="IN46" s="426">
        <v>0</v>
      </c>
      <c r="IO46" s="426">
        <v>0</v>
      </c>
      <c r="IP46" s="426">
        <v>0</v>
      </c>
    </row>
    <row r="47" spans="1:250" ht="15">
      <c r="A47" s="357" t="s">
        <v>645</v>
      </c>
      <c r="B47" s="427" t="s">
        <v>777</v>
      </c>
      <c r="C47" s="427"/>
      <c r="D47" s="427"/>
      <c r="E47" s="427"/>
      <c r="F47" s="427">
        <v>2</v>
      </c>
      <c r="G47" s="427"/>
      <c r="H47" s="427">
        <v>19</v>
      </c>
      <c r="I47" s="427"/>
      <c r="J47" t="str">
        <f t="shared" si="0"/>
        <v>CLX200219</v>
      </c>
      <c r="K47" s="427">
        <v>235</v>
      </c>
      <c r="R47" s="357" t="s">
        <v>645</v>
      </c>
      <c r="S47" s="428" t="s">
        <v>777</v>
      </c>
      <c r="T47" s="428">
        <v>2</v>
      </c>
      <c r="U47" s="428">
        <v>19</v>
      </c>
      <c r="V47" s="208" t="str">
        <f t="shared" si="1"/>
        <v>CLX200219</v>
      </c>
      <c r="W47" s="428">
        <v>0</v>
      </c>
      <c r="X47" s="428">
        <v>0</v>
      </c>
      <c r="Y47" s="428">
        <v>0</v>
      </c>
      <c r="Z47" s="428">
        <v>0</v>
      </c>
      <c r="AA47" s="428">
        <v>0</v>
      </c>
      <c r="AB47" s="428">
        <v>0</v>
      </c>
      <c r="AC47" s="428">
        <v>0</v>
      </c>
      <c r="AD47" s="428">
        <v>0</v>
      </c>
      <c r="AE47" s="428">
        <v>0</v>
      </c>
      <c r="AF47" s="428">
        <v>0</v>
      </c>
      <c r="AG47" s="428">
        <v>0</v>
      </c>
      <c r="AH47" s="428">
        <v>0</v>
      </c>
      <c r="AI47" s="428">
        <v>0</v>
      </c>
      <c r="AJ47" s="428">
        <v>0</v>
      </c>
      <c r="AK47" s="428">
        <v>0</v>
      </c>
      <c r="AL47" s="428">
        <v>0</v>
      </c>
      <c r="AM47" s="428">
        <v>0</v>
      </c>
      <c r="AN47" s="428">
        <v>0</v>
      </c>
      <c r="AO47" s="428">
        <v>0</v>
      </c>
      <c r="AP47" s="428">
        <v>0</v>
      </c>
      <c r="AQ47" s="428">
        <v>0</v>
      </c>
      <c r="AR47" s="428">
        <v>0</v>
      </c>
      <c r="AS47" s="428">
        <v>0</v>
      </c>
      <c r="AT47" s="428">
        <v>0</v>
      </c>
      <c r="AU47" s="428">
        <v>0</v>
      </c>
      <c r="AV47" s="428">
        <v>0</v>
      </c>
      <c r="AW47" s="428">
        <v>0</v>
      </c>
      <c r="AX47" s="428">
        <v>0</v>
      </c>
      <c r="AY47" s="428">
        <v>0</v>
      </c>
      <c r="AZ47" s="428">
        <v>0</v>
      </c>
      <c r="BA47" s="428">
        <v>0</v>
      </c>
      <c r="BB47" s="428">
        <v>0</v>
      </c>
      <c r="BC47" s="428">
        <v>0</v>
      </c>
      <c r="BD47" s="428">
        <v>0</v>
      </c>
      <c r="BE47" s="428">
        <v>0</v>
      </c>
      <c r="BF47" s="428">
        <v>0</v>
      </c>
      <c r="BG47" s="428">
        <v>0</v>
      </c>
      <c r="BH47" s="428">
        <v>0</v>
      </c>
      <c r="BI47" s="428">
        <v>0</v>
      </c>
      <c r="BJ47" s="428">
        <v>0</v>
      </c>
      <c r="BK47" s="428">
        <v>0</v>
      </c>
      <c r="BL47" s="428">
        <v>0</v>
      </c>
      <c r="BM47" s="428">
        <v>0</v>
      </c>
      <c r="BN47" s="428">
        <v>0</v>
      </c>
      <c r="BO47" s="428">
        <v>0</v>
      </c>
      <c r="BP47" s="428">
        <v>0</v>
      </c>
      <c r="BQ47" s="428">
        <v>0</v>
      </c>
      <c r="BR47" s="428">
        <v>0</v>
      </c>
      <c r="BS47" s="428">
        <v>0</v>
      </c>
      <c r="BT47" s="428">
        <v>0</v>
      </c>
      <c r="BU47" s="428">
        <v>0</v>
      </c>
      <c r="BV47" s="428">
        <v>0</v>
      </c>
      <c r="BW47" s="428">
        <v>0</v>
      </c>
      <c r="BX47" s="428">
        <v>0</v>
      </c>
      <c r="BY47" s="428">
        <v>0</v>
      </c>
      <c r="BZ47" s="428">
        <v>0</v>
      </c>
      <c r="CA47" s="428">
        <v>0</v>
      </c>
      <c r="CB47" s="428">
        <v>0</v>
      </c>
      <c r="CC47" s="428">
        <v>0</v>
      </c>
      <c r="CD47" s="428">
        <v>0</v>
      </c>
      <c r="CE47" s="428">
        <v>0</v>
      </c>
      <c r="CF47" s="428">
        <v>0</v>
      </c>
      <c r="CG47" s="428">
        <v>0</v>
      </c>
      <c r="CH47" s="428">
        <v>0</v>
      </c>
      <c r="CI47" s="428">
        <v>0</v>
      </c>
      <c r="CJ47" s="428">
        <v>0</v>
      </c>
      <c r="CK47" s="428">
        <v>0</v>
      </c>
      <c r="CL47" s="428">
        <v>0</v>
      </c>
      <c r="CM47" s="428">
        <v>0</v>
      </c>
      <c r="CN47" s="428">
        <v>0</v>
      </c>
      <c r="CO47" s="428">
        <v>4982</v>
      </c>
      <c r="CP47" s="428">
        <v>0</v>
      </c>
      <c r="CQ47" s="428">
        <v>0</v>
      </c>
      <c r="CR47" s="428">
        <v>0</v>
      </c>
      <c r="CS47" s="428">
        <v>0</v>
      </c>
      <c r="CT47" s="428">
        <v>0</v>
      </c>
      <c r="CU47" s="428">
        <v>0</v>
      </c>
      <c r="CV47" s="428">
        <v>0</v>
      </c>
      <c r="CW47" s="428">
        <v>0</v>
      </c>
      <c r="CX47" s="428">
        <v>0</v>
      </c>
      <c r="CY47" s="428">
        <v>0</v>
      </c>
      <c r="CZ47" s="428">
        <v>0</v>
      </c>
      <c r="DA47" s="428">
        <v>0</v>
      </c>
      <c r="DB47" s="428">
        <v>0</v>
      </c>
      <c r="DC47" s="428">
        <v>0</v>
      </c>
      <c r="DD47" s="428">
        <v>0</v>
      </c>
      <c r="DE47" s="428">
        <v>0</v>
      </c>
      <c r="DF47" s="428">
        <v>0</v>
      </c>
      <c r="DG47" s="428">
        <v>0</v>
      </c>
      <c r="DH47" s="428">
        <v>0</v>
      </c>
      <c r="DI47" s="428">
        <v>0</v>
      </c>
      <c r="DJ47" s="428">
        <v>0</v>
      </c>
      <c r="DK47" s="428">
        <v>0</v>
      </c>
      <c r="DL47" s="428">
        <v>0</v>
      </c>
      <c r="DM47" s="428">
        <v>0</v>
      </c>
      <c r="DN47" s="428">
        <v>0</v>
      </c>
      <c r="DO47" s="428">
        <v>0</v>
      </c>
      <c r="DP47" s="428">
        <v>0</v>
      </c>
      <c r="DQ47" s="428">
        <v>0</v>
      </c>
      <c r="DR47" s="428">
        <v>0</v>
      </c>
      <c r="DS47" s="428">
        <v>0</v>
      </c>
      <c r="DT47" s="428">
        <v>0</v>
      </c>
      <c r="DU47" s="428">
        <v>0</v>
      </c>
      <c r="DV47" s="428">
        <v>0</v>
      </c>
      <c r="ED47" s="135"/>
      <c r="EE47" s="357" t="s">
        <v>645</v>
      </c>
      <c r="EF47" s="426" t="s">
        <v>777</v>
      </c>
      <c r="EG47" s="426">
        <v>2</v>
      </c>
      <c r="EH47" s="426">
        <v>19</v>
      </c>
      <c r="EI47" s="208" t="str">
        <f t="shared" si="2"/>
        <v>CLX200219</v>
      </c>
      <c r="EJ47" s="426">
        <v>249.1</v>
      </c>
      <c r="EK47" s="426">
        <v>498.2</v>
      </c>
      <c r="EL47" s="426">
        <v>747.3</v>
      </c>
      <c r="EM47" s="426">
        <v>996.4</v>
      </c>
      <c r="EN47" s="426">
        <v>1245.5</v>
      </c>
      <c r="EO47" s="426">
        <v>1494.6</v>
      </c>
      <c r="EP47" s="426">
        <v>1743.7</v>
      </c>
      <c r="EQ47" s="426">
        <v>1992.8</v>
      </c>
      <c r="ER47" s="426">
        <v>2241.9</v>
      </c>
      <c r="ES47" s="426">
        <v>2491</v>
      </c>
      <c r="ET47" s="426">
        <v>2740.1</v>
      </c>
      <c r="EU47" s="426">
        <v>2989.2</v>
      </c>
      <c r="EV47" s="426">
        <v>3238.3</v>
      </c>
      <c r="EW47" s="426">
        <v>3487.4</v>
      </c>
      <c r="EX47" s="426">
        <v>3736.5</v>
      </c>
      <c r="EY47" s="426">
        <v>3985.6</v>
      </c>
      <c r="EZ47" s="426">
        <v>4234.7</v>
      </c>
      <c r="FA47" s="426">
        <v>4483.8</v>
      </c>
      <c r="FB47" s="426">
        <v>4732.8999999999996</v>
      </c>
      <c r="FC47" s="426">
        <v>4982</v>
      </c>
      <c r="FD47" s="426">
        <v>4982</v>
      </c>
      <c r="FE47" s="426">
        <v>4982</v>
      </c>
      <c r="FF47" s="426">
        <v>4982</v>
      </c>
      <c r="FG47" s="426">
        <v>4982</v>
      </c>
      <c r="FH47" s="426">
        <v>4982</v>
      </c>
      <c r="FI47" s="426">
        <v>4982</v>
      </c>
      <c r="FJ47" s="426">
        <v>4982</v>
      </c>
      <c r="FK47" s="426">
        <v>4982</v>
      </c>
      <c r="FL47" s="426">
        <v>4982</v>
      </c>
      <c r="FM47" s="426">
        <v>4982</v>
      </c>
      <c r="FN47" s="426">
        <v>4982</v>
      </c>
      <c r="FO47" s="426">
        <v>4982</v>
      </c>
      <c r="FP47" s="426">
        <v>4982</v>
      </c>
      <c r="FQ47" s="426">
        <v>4982</v>
      </c>
      <c r="FR47" s="426">
        <v>4982</v>
      </c>
      <c r="FS47" s="426">
        <v>4982</v>
      </c>
      <c r="FT47" s="426">
        <v>4982</v>
      </c>
      <c r="FU47" s="426">
        <v>4982</v>
      </c>
      <c r="FV47" s="426">
        <v>4982</v>
      </c>
      <c r="FW47" s="426">
        <v>4982</v>
      </c>
      <c r="FX47" s="426">
        <v>4982</v>
      </c>
      <c r="FY47" s="426">
        <v>4982</v>
      </c>
      <c r="FZ47" s="426">
        <v>4982</v>
      </c>
      <c r="GA47" s="426">
        <v>4982</v>
      </c>
      <c r="GB47" s="426">
        <v>4982</v>
      </c>
      <c r="GC47" s="426">
        <v>4982</v>
      </c>
      <c r="GD47" s="426">
        <v>4982</v>
      </c>
      <c r="GE47" s="426">
        <v>4982</v>
      </c>
      <c r="GF47" s="426">
        <v>4982</v>
      </c>
      <c r="GG47" s="426">
        <v>4982</v>
      </c>
      <c r="GH47" s="426">
        <v>4982</v>
      </c>
      <c r="GI47" s="426">
        <v>4982</v>
      </c>
      <c r="GJ47" s="426">
        <v>4982</v>
      </c>
      <c r="GK47" s="426">
        <v>4982</v>
      </c>
      <c r="GL47" s="426">
        <v>4982</v>
      </c>
      <c r="GM47" s="426">
        <v>4982</v>
      </c>
      <c r="GN47" s="426">
        <v>4982</v>
      </c>
      <c r="GO47" s="426">
        <v>4982</v>
      </c>
      <c r="GP47" s="426">
        <v>4982</v>
      </c>
      <c r="GQ47" s="426">
        <v>4982</v>
      </c>
      <c r="GR47" s="426">
        <v>4982</v>
      </c>
      <c r="GS47" s="426">
        <v>4982</v>
      </c>
      <c r="GT47" s="426">
        <v>4982</v>
      </c>
      <c r="GU47" s="426">
        <v>4982</v>
      </c>
      <c r="GV47" s="426">
        <v>4982</v>
      </c>
      <c r="GW47" s="426">
        <v>4982</v>
      </c>
      <c r="GX47" s="426">
        <v>4982</v>
      </c>
      <c r="GY47" s="426">
        <v>4982</v>
      </c>
      <c r="GZ47" s="426">
        <v>4982</v>
      </c>
      <c r="HA47" s="426">
        <v>4982</v>
      </c>
      <c r="HB47" s="426">
        <v>4982</v>
      </c>
      <c r="HC47" s="426">
        <v>0</v>
      </c>
      <c r="HD47" s="426">
        <v>0</v>
      </c>
      <c r="HE47" s="426">
        <v>0</v>
      </c>
      <c r="HF47" s="426">
        <v>0</v>
      </c>
      <c r="HG47" s="426">
        <v>0</v>
      </c>
      <c r="HH47" s="426">
        <v>0</v>
      </c>
      <c r="HI47" s="426">
        <v>0</v>
      </c>
      <c r="HJ47" s="426">
        <v>0</v>
      </c>
      <c r="HK47" s="426">
        <v>0</v>
      </c>
      <c r="HL47" s="426">
        <v>0</v>
      </c>
      <c r="HM47" s="426">
        <v>0</v>
      </c>
      <c r="HN47" s="426">
        <v>0</v>
      </c>
      <c r="HO47" s="426">
        <v>0</v>
      </c>
      <c r="HP47" s="426">
        <v>0</v>
      </c>
      <c r="HQ47" s="426">
        <v>0</v>
      </c>
      <c r="HR47" s="426">
        <v>0</v>
      </c>
      <c r="HS47" s="426">
        <v>0</v>
      </c>
      <c r="HT47" s="426">
        <v>0</v>
      </c>
      <c r="HU47" s="426">
        <v>0</v>
      </c>
      <c r="HV47" s="426">
        <v>0</v>
      </c>
      <c r="HW47" s="426">
        <v>0</v>
      </c>
      <c r="HX47" s="426">
        <v>0</v>
      </c>
      <c r="HY47" s="426">
        <v>0</v>
      </c>
      <c r="HZ47" s="426">
        <v>0</v>
      </c>
      <c r="IA47" s="426">
        <v>0</v>
      </c>
      <c r="IB47" s="426">
        <v>0</v>
      </c>
      <c r="IC47" s="426">
        <v>0</v>
      </c>
      <c r="ID47" s="426">
        <v>0</v>
      </c>
      <c r="IE47" s="426">
        <v>0</v>
      </c>
      <c r="IF47" s="426">
        <v>0</v>
      </c>
      <c r="IG47" s="426">
        <v>0</v>
      </c>
      <c r="IH47" s="426">
        <v>0</v>
      </c>
      <c r="II47" s="426">
        <v>0</v>
      </c>
      <c r="IJ47" s="426">
        <v>0</v>
      </c>
      <c r="IK47" s="426">
        <v>0</v>
      </c>
      <c r="IL47" s="426">
        <v>0</v>
      </c>
      <c r="IM47" s="426">
        <v>0</v>
      </c>
      <c r="IN47" s="426">
        <v>0</v>
      </c>
      <c r="IO47" s="426">
        <v>0</v>
      </c>
      <c r="IP47" s="426">
        <v>0</v>
      </c>
    </row>
    <row r="48" spans="1:250" ht="15">
      <c r="A48" s="357" t="s">
        <v>645</v>
      </c>
      <c r="B48" s="427" t="s">
        <v>777</v>
      </c>
      <c r="C48" s="427"/>
      <c r="D48" s="427"/>
      <c r="E48" s="427"/>
      <c r="F48" s="427">
        <v>2</v>
      </c>
      <c r="G48" s="427"/>
      <c r="H48" s="427">
        <v>20</v>
      </c>
      <c r="I48" s="427"/>
      <c r="J48" t="str">
        <f t="shared" si="0"/>
        <v>CLX200220</v>
      </c>
      <c r="K48" s="427">
        <v>240</v>
      </c>
      <c r="R48" s="357" t="s">
        <v>645</v>
      </c>
      <c r="S48" s="428" t="s">
        <v>777</v>
      </c>
      <c r="T48" s="428">
        <v>2</v>
      </c>
      <c r="U48" s="428">
        <v>20</v>
      </c>
      <c r="V48" s="208" t="str">
        <f t="shared" si="1"/>
        <v>CLX200220</v>
      </c>
      <c r="W48" s="428">
        <v>0</v>
      </c>
      <c r="X48" s="428">
        <v>0</v>
      </c>
      <c r="Y48" s="428">
        <v>0</v>
      </c>
      <c r="Z48" s="428">
        <v>0</v>
      </c>
      <c r="AA48" s="428">
        <v>0</v>
      </c>
      <c r="AB48" s="428">
        <v>0</v>
      </c>
      <c r="AC48" s="428">
        <v>0</v>
      </c>
      <c r="AD48" s="428">
        <v>0</v>
      </c>
      <c r="AE48" s="428">
        <v>0</v>
      </c>
      <c r="AF48" s="428">
        <v>0</v>
      </c>
      <c r="AG48" s="428">
        <v>0</v>
      </c>
      <c r="AH48" s="428">
        <v>0</v>
      </c>
      <c r="AI48" s="428">
        <v>0</v>
      </c>
      <c r="AJ48" s="428">
        <v>0</v>
      </c>
      <c r="AK48" s="428">
        <v>0</v>
      </c>
      <c r="AL48" s="428">
        <v>0</v>
      </c>
      <c r="AM48" s="428">
        <v>0</v>
      </c>
      <c r="AN48" s="428">
        <v>0</v>
      </c>
      <c r="AO48" s="428">
        <v>0</v>
      </c>
      <c r="AP48" s="428">
        <v>0</v>
      </c>
      <c r="AQ48" s="428">
        <v>0</v>
      </c>
      <c r="AR48" s="428">
        <v>0</v>
      </c>
      <c r="AS48" s="428">
        <v>0</v>
      </c>
      <c r="AT48" s="428">
        <v>0</v>
      </c>
      <c r="AU48" s="428">
        <v>0</v>
      </c>
      <c r="AV48" s="428">
        <v>0</v>
      </c>
      <c r="AW48" s="428">
        <v>0</v>
      </c>
      <c r="AX48" s="428">
        <v>0</v>
      </c>
      <c r="AY48" s="428">
        <v>0</v>
      </c>
      <c r="AZ48" s="428">
        <v>0</v>
      </c>
      <c r="BA48" s="428">
        <v>0</v>
      </c>
      <c r="BB48" s="428">
        <v>0</v>
      </c>
      <c r="BC48" s="428">
        <v>0</v>
      </c>
      <c r="BD48" s="428">
        <v>0</v>
      </c>
      <c r="BE48" s="428">
        <v>0</v>
      </c>
      <c r="BF48" s="428">
        <v>0</v>
      </c>
      <c r="BG48" s="428">
        <v>0</v>
      </c>
      <c r="BH48" s="428">
        <v>0</v>
      </c>
      <c r="BI48" s="428">
        <v>0</v>
      </c>
      <c r="BJ48" s="428">
        <v>0</v>
      </c>
      <c r="BK48" s="428">
        <v>0</v>
      </c>
      <c r="BL48" s="428">
        <v>0</v>
      </c>
      <c r="BM48" s="428">
        <v>0</v>
      </c>
      <c r="BN48" s="428">
        <v>0</v>
      </c>
      <c r="BO48" s="428">
        <v>0</v>
      </c>
      <c r="BP48" s="428">
        <v>0</v>
      </c>
      <c r="BQ48" s="428">
        <v>0</v>
      </c>
      <c r="BR48" s="428">
        <v>0</v>
      </c>
      <c r="BS48" s="428">
        <v>0</v>
      </c>
      <c r="BT48" s="428">
        <v>0</v>
      </c>
      <c r="BU48" s="428">
        <v>0</v>
      </c>
      <c r="BV48" s="428">
        <v>0</v>
      </c>
      <c r="BW48" s="428">
        <v>0</v>
      </c>
      <c r="BX48" s="428">
        <v>0</v>
      </c>
      <c r="BY48" s="428">
        <v>0</v>
      </c>
      <c r="BZ48" s="428">
        <v>0</v>
      </c>
      <c r="CA48" s="428">
        <v>0</v>
      </c>
      <c r="CB48" s="428">
        <v>0</v>
      </c>
      <c r="CC48" s="428">
        <v>0</v>
      </c>
      <c r="CD48" s="428">
        <v>0</v>
      </c>
      <c r="CE48" s="428">
        <v>0</v>
      </c>
      <c r="CF48" s="428">
        <v>0</v>
      </c>
      <c r="CG48" s="428">
        <v>0</v>
      </c>
      <c r="CH48" s="428">
        <v>0</v>
      </c>
      <c r="CI48" s="428">
        <v>0</v>
      </c>
      <c r="CJ48" s="428">
        <v>0</v>
      </c>
      <c r="CK48" s="428">
        <v>0</v>
      </c>
      <c r="CL48" s="428">
        <v>0</v>
      </c>
      <c r="CM48" s="428">
        <v>0</v>
      </c>
      <c r="CN48" s="428">
        <v>5088</v>
      </c>
      <c r="CO48" s="428">
        <v>0</v>
      </c>
      <c r="CP48" s="428">
        <v>0</v>
      </c>
      <c r="CQ48" s="428">
        <v>0</v>
      </c>
      <c r="CR48" s="428">
        <v>0</v>
      </c>
      <c r="CS48" s="428">
        <v>0</v>
      </c>
      <c r="CT48" s="428">
        <v>0</v>
      </c>
      <c r="CU48" s="428">
        <v>0</v>
      </c>
      <c r="CV48" s="428">
        <v>0</v>
      </c>
      <c r="CW48" s="428">
        <v>0</v>
      </c>
      <c r="CX48" s="428">
        <v>0</v>
      </c>
      <c r="CY48" s="428">
        <v>0</v>
      </c>
      <c r="CZ48" s="428">
        <v>0</v>
      </c>
      <c r="DA48" s="428">
        <v>0</v>
      </c>
      <c r="DB48" s="428">
        <v>0</v>
      </c>
      <c r="DC48" s="428">
        <v>0</v>
      </c>
      <c r="DD48" s="428">
        <v>0</v>
      </c>
      <c r="DE48" s="428">
        <v>0</v>
      </c>
      <c r="DF48" s="428">
        <v>0</v>
      </c>
      <c r="DG48" s="428">
        <v>0</v>
      </c>
      <c r="DH48" s="428">
        <v>0</v>
      </c>
      <c r="DI48" s="428">
        <v>0</v>
      </c>
      <c r="DJ48" s="428">
        <v>0</v>
      </c>
      <c r="DK48" s="428">
        <v>0</v>
      </c>
      <c r="DL48" s="428">
        <v>0</v>
      </c>
      <c r="DM48" s="428">
        <v>0</v>
      </c>
      <c r="DN48" s="428">
        <v>0</v>
      </c>
      <c r="DO48" s="428">
        <v>0</v>
      </c>
      <c r="DP48" s="428">
        <v>0</v>
      </c>
      <c r="DQ48" s="428">
        <v>0</v>
      </c>
      <c r="DR48" s="428">
        <v>0</v>
      </c>
      <c r="DS48" s="428">
        <v>0</v>
      </c>
      <c r="DT48" s="428">
        <v>0</v>
      </c>
      <c r="DU48" s="428">
        <v>0</v>
      </c>
      <c r="DV48" s="428">
        <v>0</v>
      </c>
      <c r="ED48" s="135"/>
      <c r="EE48" s="357" t="s">
        <v>645</v>
      </c>
      <c r="EF48" s="426" t="s">
        <v>777</v>
      </c>
      <c r="EG48" s="426">
        <v>2</v>
      </c>
      <c r="EH48" s="426">
        <v>20</v>
      </c>
      <c r="EI48" s="208" t="str">
        <f t="shared" si="2"/>
        <v>CLX200220</v>
      </c>
      <c r="EJ48" s="426">
        <v>254.4</v>
      </c>
      <c r="EK48" s="426">
        <v>508.8</v>
      </c>
      <c r="EL48" s="426">
        <v>763.2</v>
      </c>
      <c r="EM48" s="426">
        <v>1017.6</v>
      </c>
      <c r="EN48" s="426">
        <v>1272</v>
      </c>
      <c r="EO48" s="426">
        <v>1526.4</v>
      </c>
      <c r="EP48" s="426">
        <v>1780.8</v>
      </c>
      <c r="EQ48" s="426">
        <v>2035.2</v>
      </c>
      <c r="ER48" s="426">
        <v>2289.6</v>
      </c>
      <c r="ES48" s="426">
        <v>2544</v>
      </c>
      <c r="ET48" s="426">
        <v>2798.4</v>
      </c>
      <c r="EU48" s="426">
        <v>3052.8</v>
      </c>
      <c r="EV48" s="426">
        <v>3307.2</v>
      </c>
      <c r="EW48" s="426">
        <v>3561.6</v>
      </c>
      <c r="EX48" s="426">
        <v>3816</v>
      </c>
      <c r="EY48" s="426">
        <v>4070.4</v>
      </c>
      <c r="EZ48" s="426">
        <v>4324.8</v>
      </c>
      <c r="FA48" s="426">
        <v>4579.2</v>
      </c>
      <c r="FB48" s="426">
        <v>4833.6000000000004</v>
      </c>
      <c r="FC48" s="426">
        <v>5088</v>
      </c>
      <c r="FD48" s="426">
        <v>5088</v>
      </c>
      <c r="FE48" s="426">
        <v>5088</v>
      </c>
      <c r="FF48" s="426">
        <v>5088</v>
      </c>
      <c r="FG48" s="426">
        <v>5088</v>
      </c>
      <c r="FH48" s="426">
        <v>5088</v>
      </c>
      <c r="FI48" s="426">
        <v>5088</v>
      </c>
      <c r="FJ48" s="426">
        <v>5088</v>
      </c>
      <c r="FK48" s="426">
        <v>5088</v>
      </c>
      <c r="FL48" s="426">
        <v>5088</v>
      </c>
      <c r="FM48" s="426">
        <v>5088</v>
      </c>
      <c r="FN48" s="426">
        <v>5088</v>
      </c>
      <c r="FO48" s="426">
        <v>5088</v>
      </c>
      <c r="FP48" s="426">
        <v>5088</v>
      </c>
      <c r="FQ48" s="426">
        <v>5088</v>
      </c>
      <c r="FR48" s="426">
        <v>5088</v>
      </c>
      <c r="FS48" s="426">
        <v>5088</v>
      </c>
      <c r="FT48" s="426">
        <v>5088</v>
      </c>
      <c r="FU48" s="426">
        <v>5088</v>
      </c>
      <c r="FV48" s="426">
        <v>5088</v>
      </c>
      <c r="FW48" s="426">
        <v>5088</v>
      </c>
      <c r="FX48" s="426">
        <v>5088</v>
      </c>
      <c r="FY48" s="426">
        <v>5088</v>
      </c>
      <c r="FZ48" s="426">
        <v>5088</v>
      </c>
      <c r="GA48" s="426">
        <v>5088</v>
      </c>
      <c r="GB48" s="426">
        <v>5088</v>
      </c>
      <c r="GC48" s="426">
        <v>5088</v>
      </c>
      <c r="GD48" s="426">
        <v>5088</v>
      </c>
      <c r="GE48" s="426">
        <v>5088</v>
      </c>
      <c r="GF48" s="426">
        <v>5088</v>
      </c>
      <c r="GG48" s="426">
        <v>5088</v>
      </c>
      <c r="GH48" s="426">
        <v>5088</v>
      </c>
      <c r="GI48" s="426">
        <v>5088</v>
      </c>
      <c r="GJ48" s="426">
        <v>5088</v>
      </c>
      <c r="GK48" s="426">
        <v>5088</v>
      </c>
      <c r="GL48" s="426">
        <v>5088</v>
      </c>
      <c r="GM48" s="426">
        <v>5088</v>
      </c>
      <c r="GN48" s="426">
        <v>5088</v>
      </c>
      <c r="GO48" s="426">
        <v>5088</v>
      </c>
      <c r="GP48" s="426">
        <v>5088</v>
      </c>
      <c r="GQ48" s="426">
        <v>5088</v>
      </c>
      <c r="GR48" s="426">
        <v>5088</v>
      </c>
      <c r="GS48" s="426">
        <v>5088</v>
      </c>
      <c r="GT48" s="426">
        <v>5088</v>
      </c>
      <c r="GU48" s="426">
        <v>5088</v>
      </c>
      <c r="GV48" s="426">
        <v>5088</v>
      </c>
      <c r="GW48" s="426">
        <v>5088</v>
      </c>
      <c r="GX48" s="426">
        <v>5088</v>
      </c>
      <c r="GY48" s="426">
        <v>5088</v>
      </c>
      <c r="GZ48" s="426">
        <v>5088</v>
      </c>
      <c r="HA48" s="426">
        <v>5088</v>
      </c>
      <c r="HB48" s="426">
        <v>0</v>
      </c>
      <c r="HC48" s="426">
        <v>0</v>
      </c>
      <c r="HD48" s="426">
        <v>0</v>
      </c>
      <c r="HE48" s="426">
        <v>0</v>
      </c>
      <c r="HF48" s="426">
        <v>0</v>
      </c>
      <c r="HG48" s="426">
        <v>0</v>
      </c>
      <c r="HH48" s="426">
        <v>0</v>
      </c>
      <c r="HI48" s="426">
        <v>0</v>
      </c>
      <c r="HJ48" s="426">
        <v>0</v>
      </c>
      <c r="HK48" s="426">
        <v>0</v>
      </c>
      <c r="HL48" s="426">
        <v>0</v>
      </c>
      <c r="HM48" s="426">
        <v>0</v>
      </c>
      <c r="HN48" s="426">
        <v>0</v>
      </c>
      <c r="HO48" s="426">
        <v>0</v>
      </c>
      <c r="HP48" s="426">
        <v>0</v>
      </c>
      <c r="HQ48" s="426">
        <v>0</v>
      </c>
      <c r="HR48" s="426">
        <v>0</v>
      </c>
      <c r="HS48" s="426">
        <v>0</v>
      </c>
      <c r="HT48" s="426">
        <v>0</v>
      </c>
      <c r="HU48" s="426">
        <v>0</v>
      </c>
      <c r="HV48" s="426">
        <v>0</v>
      </c>
      <c r="HW48" s="426">
        <v>0</v>
      </c>
      <c r="HX48" s="426">
        <v>0</v>
      </c>
      <c r="HY48" s="426">
        <v>0</v>
      </c>
      <c r="HZ48" s="426">
        <v>0</v>
      </c>
      <c r="IA48" s="426">
        <v>0</v>
      </c>
      <c r="IB48" s="426">
        <v>0</v>
      </c>
      <c r="IC48" s="426">
        <v>0</v>
      </c>
      <c r="ID48" s="426">
        <v>0</v>
      </c>
      <c r="IE48" s="426">
        <v>0</v>
      </c>
      <c r="IF48" s="426">
        <v>0</v>
      </c>
      <c r="IG48" s="426">
        <v>0</v>
      </c>
      <c r="IH48" s="426">
        <v>0</v>
      </c>
      <c r="II48" s="426">
        <v>0</v>
      </c>
      <c r="IJ48" s="426">
        <v>0</v>
      </c>
      <c r="IK48" s="426">
        <v>0</v>
      </c>
      <c r="IL48" s="426">
        <v>0</v>
      </c>
      <c r="IM48" s="426">
        <v>0</v>
      </c>
      <c r="IN48" s="426">
        <v>0</v>
      </c>
      <c r="IO48" s="426">
        <v>0</v>
      </c>
      <c r="IP48" s="426">
        <v>0</v>
      </c>
    </row>
    <row r="49" spans="1:250" ht="15">
      <c r="A49" s="357" t="s">
        <v>645</v>
      </c>
      <c r="B49" s="427" t="s">
        <v>777</v>
      </c>
      <c r="C49" s="427"/>
      <c r="D49" s="427"/>
      <c r="E49" s="427"/>
      <c r="F49" s="427">
        <v>2</v>
      </c>
      <c r="G49" s="427"/>
      <c r="H49" s="427">
        <v>21</v>
      </c>
      <c r="I49" s="427"/>
      <c r="J49" t="str">
        <f t="shared" si="0"/>
        <v>CLX200221</v>
      </c>
      <c r="K49" s="427">
        <v>245</v>
      </c>
      <c r="R49" s="357" t="s">
        <v>645</v>
      </c>
      <c r="S49" s="428" t="s">
        <v>777</v>
      </c>
      <c r="T49" s="428">
        <v>2</v>
      </c>
      <c r="U49" s="428">
        <v>21</v>
      </c>
      <c r="V49" s="208" t="str">
        <f t="shared" si="1"/>
        <v>CLX200221</v>
      </c>
      <c r="W49" s="428">
        <v>0</v>
      </c>
      <c r="X49" s="428">
        <v>0</v>
      </c>
      <c r="Y49" s="428">
        <v>0</v>
      </c>
      <c r="Z49" s="428">
        <v>0</v>
      </c>
      <c r="AA49" s="428">
        <v>0</v>
      </c>
      <c r="AB49" s="428">
        <v>0</v>
      </c>
      <c r="AC49" s="428">
        <v>0</v>
      </c>
      <c r="AD49" s="428">
        <v>0</v>
      </c>
      <c r="AE49" s="428">
        <v>0</v>
      </c>
      <c r="AF49" s="428">
        <v>0</v>
      </c>
      <c r="AG49" s="428">
        <v>0</v>
      </c>
      <c r="AH49" s="428">
        <v>0</v>
      </c>
      <c r="AI49" s="428">
        <v>0</v>
      </c>
      <c r="AJ49" s="428">
        <v>0</v>
      </c>
      <c r="AK49" s="428">
        <v>0</v>
      </c>
      <c r="AL49" s="428">
        <v>0</v>
      </c>
      <c r="AM49" s="428">
        <v>0</v>
      </c>
      <c r="AN49" s="428">
        <v>0</v>
      </c>
      <c r="AO49" s="428">
        <v>0</v>
      </c>
      <c r="AP49" s="428">
        <v>0</v>
      </c>
      <c r="AQ49" s="428">
        <v>0</v>
      </c>
      <c r="AR49" s="428">
        <v>0</v>
      </c>
      <c r="AS49" s="428">
        <v>0</v>
      </c>
      <c r="AT49" s="428">
        <v>0</v>
      </c>
      <c r="AU49" s="428">
        <v>0</v>
      </c>
      <c r="AV49" s="428">
        <v>0</v>
      </c>
      <c r="AW49" s="428">
        <v>0</v>
      </c>
      <c r="AX49" s="428">
        <v>0</v>
      </c>
      <c r="AY49" s="428">
        <v>0</v>
      </c>
      <c r="AZ49" s="428">
        <v>0</v>
      </c>
      <c r="BA49" s="428">
        <v>0</v>
      </c>
      <c r="BB49" s="428">
        <v>0</v>
      </c>
      <c r="BC49" s="428">
        <v>0</v>
      </c>
      <c r="BD49" s="428">
        <v>0</v>
      </c>
      <c r="BE49" s="428">
        <v>0</v>
      </c>
      <c r="BF49" s="428">
        <v>0</v>
      </c>
      <c r="BG49" s="428">
        <v>0</v>
      </c>
      <c r="BH49" s="428">
        <v>0</v>
      </c>
      <c r="BI49" s="428">
        <v>0</v>
      </c>
      <c r="BJ49" s="428">
        <v>0</v>
      </c>
      <c r="BK49" s="428">
        <v>0</v>
      </c>
      <c r="BL49" s="428">
        <v>0</v>
      </c>
      <c r="BM49" s="428">
        <v>0</v>
      </c>
      <c r="BN49" s="428">
        <v>0</v>
      </c>
      <c r="BO49" s="428">
        <v>0</v>
      </c>
      <c r="BP49" s="428">
        <v>0</v>
      </c>
      <c r="BQ49" s="428">
        <v>0</v>
      </c>
      <c r="BR49" s="428">
        <v>0</v>
      </c>
      <c r="BS49" s="428">
        <v>0</v>
      </c>
      <c r="BT49" s="428">
        <v>0</v>
      </c>
      <c r="BU49" s="428">
        <v>0</v>
      </c>
      <c r="BV49" s="428">
        <v>0</v>
      </c>
      <c r="BW49" s="428">
        <v>0</v>
      </c>
      <c r="BX49" s="428">
        <v>0</v>
      </c>
      <c r="BY49" s="428">
        <v>0</v>
      </c>
      <c r="BZ49" s="428">
        <v>0</v>
      </c>
      <c r="CA49" s="428">
        <v>0</v>
      </c>
      <c r="CB49" s="428">
        <v>0</v>
      </c>
      <c r="CC49" s="428">
        <v>0</v>
      </c>
      <c r="CD49" s="428">
        <v>0</v>
      </c>
      <c r="CE49" s="428">
        <v>0</v>
      </c>
      <c r="CF49" s="428">
        <v>0</v>
      </c>
      <c r="CG49" s="428">
        <v>0</v>
      </c>
      <c r="CH49" s="428">
        <v>0</v>
      </c>
      <c r="CI49" s="428">
        <v>0</v>
      </c>
      <c r="CJ49" s="428">
        <v>0</v>
      </c>
      <c r="CK49" s="428">
        <v>0</v>
      </c>
      <c r="CL49" s="428">
        <v>0</v>
      </c>
      <c r="CM49" s="428">
        <v>5194</v>
      </c>
      <c r="CN49" s="428">
        <v>0</v>
      </c>
      <c r="CO49" s="428">
        <v>0</v>
      </c>
      <c r="CP49" s="428">
        <v>0</v>
      </c>
      <c r="CQ49" s="428">
        <v>0</v>
      </c>
      <c r="CR49" s="428">
        <v>0</v>
      </c>
      <c r="CS49" s="428">
        <v>0</v>
      </c>
      <c r="CT49" s="428">
        <v>0</v>
      </c>
      <c r="CU49" s="428">
        <v>0</v>
      </c>
      <c r="CV49" s="428">
        <v>0</v>
      </c>
      <c r="CW49" s="428">
        <v>0</v>
      </c>
      <c r="CX49" s="428">
        <v>0</v>
      </c>
      <c r="CY49" s="428">
        <v>0</v>
      </c>
      <c r="CZ49" s="428">
        <v>0</v>
      </c>
      <c r="DA49" s="428">
        <v>0</v>
      </c>
      <c r="DB49" s="428">
        <v>0</v>
      </c>
      <c r="DC49" s="428">
        <v>0</v>
      </c>
      <c r="DD49" s="428">
        <v>0</v>
      </c>
      <c r="DE49" s="428">
        <v>0</v>
      </c>
      <c r="DF49" s="428">
        <v>0</v>
      </c>
      <c r="DG49" s="428">
        <v>0</v>
      </c>
      <c r="DH49" s="428">
        <v>0</v>
      </c>
      <c r="DI49" s="428">
        <v>0</v>
      </c>
      <c r="DJ49" s="428">
        <v>0</v>
      </c>
      <c r="DK49" s="428">
        <v>0</v>
      </c>
      <c r="DL49" s="428">
        <v>0</v>
      </c>
      <c r="DM49" s="428">
        <v>0</v>
      </c>
      <c r="DN49" s="428">
        <v>0</v>
      </c>
      <c r="DO49" s="428">
        <v>0</v>
      </c>
      <c r="DP49" s="428">
        <v>0</v>
      </c>
      <c r="DQ49" s="428">
        <v>0</v>
      </c>
      <c r="DR49" s="428">
        <v>0</v>
      </c>
      <c r="DS49" s="428">
        <v>0</v>
      </c>
      <c r="DT49" s="428">
        <v>0</v>
      </c>
      <c r="DU49" s="428">
        <v>0</v>
      </c>
      <c r="DV49" s="428">
        <v>0</v>
      </c>
      <c r="ED49" s="135"/>
      <c r="EE49" s="357" t="s">
        <v>645</v>
      </c>
      <c r="EF49" s="426" t="s">
        <v>777</v>
      </c>
      <c r="EG49" s="426">
        <v>2</v>
      </c>
      <c r="EH49" s="426">
        <v>21</v>
      </c>
      <c r="EI49" s="208" t="str">
        <f t="shared" si="2"/>
        <v>CLX200221</v>
      </c>
      <c r="EJ49" s="426">
        <v>259.7</v>
      </c>
      <c r="EK49" s="426">
        <v>519.4</v>
      </c>
      <c r="EL49" s="426">
        <v>779.1</v>
      </c>
      <c r="EM49" s="426">
        <v>1038.8</v>
      </c>
      <c r="EN49" s="426">
        <v>1298.5</v>
      </c>
      <c r="EO49" s="426">
        <v>1558.2</v>
      </c>
      <c r="EP49" s="426">
        <v>1817.9</v>
      </c>
      <c r="EQ49" s="426">
        <v>2077.6</v>
      </c>
      <c r="ER49" s="426">
        <v>2337.3000000000002</v>
      </c>
      <c r="ES49" s="426">
        <v>2597</v>
      </c>
      <c r="ET49" s="426">
        <v>2856.7</v>
      </c>
      <c r="EU49" s="426">
        <v>3116.4</v>
      </c>
      <c r="EV49" s="426">
        <v>3376.1</v>
      </c>
      <c r="EW49" s="426">
        <v>3635.8</v>
      </c>
      <c r="EX49" s="426">
        <v>3895.5</v>
      </c>
      <c r="EY49" s="426">
        <v>4155.2</v>
      </c>
      <c r="EZ49" s="426">
        <v>4414.8999999999996</v>
      </c>
      <c r="FA49" s="426">
        <v>4674.6000000000004</v>
      </c>
      <c r="FB49" s="426">
        <v>4934.3</v>
      </c>
      <c r="FC49" s="426">
        <v>5194</v>
      </c>
      <c r="FD49" s="426">
        <v>5194</v>
      </c>
      <c r="FE49" s="426">
        <v>5194</v>
      </c>
      <c r="FF49" s="426">
        <v>5194</v>
      </c>
      <c r="FG49" s="426">
        <v>5194</v>
      </c>
      <c r="FH49" s="426">
        <v>5194</v>
      </c>
      <c r="FI49" s="426">
        <v>5194</v>
      </c>
      <c r="FJ49" s="426">
        <v>5194</v>
      </c>
      <c r="FK49" s="426">
        <v>5194</v>
      </c>
      <c r="FL49" s="426">
        <v>5194</v>
      </c>
      <c r="FM49" s="426">
        <v>5194</v>
      </c>
      <c r="FN49" s="426">
        <v>5194</v>
      </c>
      <c r="FO49" s="426">
        <v>5194</v>
      </c>
      <c r="FP49" s="426">
        <v>5194</v>
      </c>
      <c r="FQ49" s="426">
        <v>5194</v>
      </c>
      <c r="FR49" s="426">
        <v>5194</v>
      </c>
      <c r="FS49" s="426">
        <v>5194</v>
      </c>
      <c r="FT49" s="426">
        <v>5194</v>
      </c>
      <c r="FU49" s="426">
        <v>5194</v>
      </c>
      <c r="FV49" s="426">
        <v>5194</v>
      </c>
      <c r="FW49" s="426">
        <v>5194</v>
      </c>
      <c r="FX49" s="426">
        <v>5194</v>
      </c>
      <c r="FY49" s="426">
        <v>5194</v>
      </c>
      <c r="FZ49" s="426">
        <v>5194</v>
      </c>
      <c r="GA49" s="426">
        <v>5194</v>
      </c>
      <c r="GB49" s="426">
        <v>5194</v>
      </c>
      <c r="GC49" s="426">
        <v>5194</v>
      </c>
      <c r="GD49" s="426">
        <v>5194</v>
      </c>
      <c r="GE49" s="426">
        <v>5194</v>
      </c>
      <c r="GF49" s="426">
        <v>5194</v>
      </c>
      <c r="GG49" s="426">
        <v>5194</v>
      </c>
      <c r="GH49" s="426">
        <v>5194</v>
      </c>
      <c r="GI49" s="426">
        <v>5194</v>
      </c>
      <c r="GJ49" s="426">
        <v>5194</v>
      </c>
      <c r="GK49" s="426">
        <v>5194</v>
      </c>
      <c r="GL49" s="426">
        <v>5194</v>
      </c>
      <c r="GM49" s="426">
        <v>5194</v>
      </c>
      <c r="GN49" s="426">
        <v>5194</v>
      </c>
      <c r="GO49" s="426">
        <v>5194</v>
      </c>
      <c r="GP49" s="426">
        <v>5194</v>
      </c>
      <c r="GQ49" s="426">
        <v>5194</v>
      </c>
      <c r="GR49" s="426">
        <v>5194</v>
      </c>
      <c r="GS49" s="426">
        <v>5194</v>
      </c>
      <c r="GT49" s="426">
        <v>5194</v>
      </c>
      <c r="GU49" s="426">
        <v>5194</v>
      </c>
      <c r="GV49" s="426">
        <v>5194</v>
      </c>
      <c r="GW49" s="426">
        <v>5194</v>
      </c>
      <c r="GX49" s="426">
        <v>5194</v>
      </c>
      <c r="GY49" s="426">
        <v>5194</v>
      </c>
      <c r="GZ49" s="426">
        <v>5194</v>
      </c>
      <c r="HA49" s="426">
        <v>0</v>
      </c>
      <c r="HB49" s="426">
        <v>0</v>
      </c>
      <c r="HC49" s="426">
        <v>0</v>
      </c>
      <c r="HD49" s="426">
        <v>0</v>
      </c>
      <c r="HE49" s="426">
        <v>0</v>
      </c>
      <c r="HF49" s="426">
        <v>0</v>
      </c>
      <c r="HG49" s="426">
        <v>0</v>
      </c>
      <c r="HH49" s="426">
        <v>0</v>
      </c>
      <c r="HI49" s="426">
        <v>0</v>
      </c>
      <c r="HJ49" s="426">
        <v>0</v>
      </c>
      <c r="HK49" s="426">
        <v>0</v>
      </c>
      <c r="HL49" s="426">
        <v>0</v>
      </c>
      <c r="HM49" s="426">
        <v>0</v>
      </c>
      <c r="HN49" s="426">
        <v>0</v>
      </c>
      <c r="HO49" s="426">
        <v>0</v>
      </c>
      <c r="HP49" s="426">
        <v>0</v>
      </c>
      <c r="HQ49" s="426">
        <v>0</v>
      </c>
      <c r="HR49" s="426">
        <v>0</v>
      </c>
      <c r="HS49" s="426">
        <v>0</v>
      </c>
      <c r="HT49" s="426">
        <v>0</v>
      </c>
      <c r="HU49" s="426">
        <v>0</v>
      </c>
      <c r="HV49" s="426">
        <v>0</v>
      </c>
      <c r="HW49" s="426">
        <v>0</v>
      </c>
      <c r="HX49" s="426">
        <v>0</v>
      </c>
      <c r="HY49" s="426">
        <v>0</v>
      </c>
      <c r="HZ49" s="426">
        <v>0</v>
      </c>
      <c r="IA49" s="426">
        <v>0</v>
      </c>
      <c r="IB49" s="426">
        <v>0</v>
      </c>
      <c r="IC49" s="426">
        <v>0</v>
      </c>
      <c r="ID49" s="426">
        <v>0</v>
      </c>
      <c r="IE49" s="426">
        <v>0</v>
      </c>
      <c r="IF49" s="426">
        <v>0</v>
      </c>
      <c r="IG49" s="426">
        <v>0</v>
      </c>
      <c r="IH49" s="426">
        <v>0</v>
      </c>
      <c r="II49" s="426">
        <v>0</v>
      </c>
      <c r="IJ49" s="426">
        <v>0</v>
      </c>
      <c r="IK49" s="426">
        <v>0</v>
      </c>
      <c r="IL49" s="426">
        <v>0</v>
      </c>
      <c r="IM49" s="426">
        <v>0</v>
      </c>
      <c r="IN49" s="426">
        <v>0</v>
      </c>
      <c r="IO49" s="426">
        <v>0</v>
      </c>
      <c r="IP49" s="426">
        <v>0</v>
      </c>
    </row>
    <row r="50" spans="1:250" ht="15">
      <c r="A50" s="357" t="s">
        <v>645</v>
      </c>
      <c r="B50" s="427" t="s">
        <v>777</v>
      </c>
      <c r="C50" s="427"/>
      <c r="D50" s="427"/>
      <c r="E50" s="427"/>
      <c r="F50" s="427">
        <v>2</v>
      </c>
      <c r="G50" s="427"/>
      <c r="H50" s="427">
        <v>22</v>
      </c>
      <c r="I50" s="427"/>
      <c r="J50" t="str">
        <f t="shared" si="0"/>
        <v>CLX200222</v>
      </c>
      <c r="K50" s="427">
        <v>250</v>
      </c>
      <c r="R50" s="357" t="s">
        <v>645</v>
      </c>
      <c r="S50" s="428" t="s">
        <v>777</v>
      </c>
      <c r="T50" s="428">
        <v>2</v>
      </c>
      <c r="U50" s="428">
        <v>22</v>
      </c>
      <c r="V50" s="208" t="str">
        <f t="shared" si="1"/>
        <v>CLX200222</v>
      </c>
      <c r="W50" s="428">
        <v>0</v>
      </c>
      <c r="X50" s="428">
        <v>0</v>
      </c>
      <c r="Y50" s="428">
        <v>0</v>
      </c>
      <c r="Z50" s="428">
        <v>0</v>
      </c>
      <c r="AA50" s="428">
        <v>0</v>
      </c>
      <c r="AB50" s="428">
        <v>0</v>
      </c>
      <c r="AC50" s="428">
        <v>0</v>
      </c>
      <c r="AD50" s="428">
        <v>0</v>
      </c>
      <c r="AE50" s="428">
        <v>0</v>
      </c>
      <c r="AF50" s="428">
        <v>0</v>
      </c>
      <c r="AG50" s="428">
        <v>0</v>
      </c>
      <c r="AH50" s="428">
        <v>0</v>
      </c>
      <c r="AI50" s="428">
        <v>0</v>
      </c>
      <c r="AJ50" s="428">
        <v>0</v>
      </c>
      <c r="AK50" s="428">
        <v>0</v>
      </c>
      <c r="AL50" s="428">
        <v>0</v>
      </c>
      <c r="AM50" s="428">
        <v>0</v>
      </c>
      <c r="AN50" s="428">
        <v>0</v>
      </c>
      <c r="AO50" s="428">
        <v>0</v>
      </c>
      <c r="AP50" s="428">
        <v>0</v>
      </c>
      <c r="AQ50" s="428">
        <v>0</v>
      </c>
      <c r="AR50" s="428">
        <v>0</v>
      </c>
      <c r="AS50" s="428">
        <v>0</v>
      </c>
      <c r="AT50" s="428">
        <v>0</v>
      </c>
      <c r="AU50" s="428">
        <v>0</v>
      </c>
      <c r="AV50" s="428">
        <v>0</v>
      </c>
      <c r="AW50" s="428">
        <v>0</v>
      </c>
      <c r="AX50" s="428">
        <v>0</v>
      </c>
      <c r="AY50" s="428">
        <v>0</v>
      </c>
      <c r="AZ50" s="428">
        <v>0</v>
      </c>
      <c r="BA50" s="428">
        <v>0</v>
      </c>
      <c r="BB50" s="428">
        <v>0</v>
      </c>
      <c r="BC50" s="428">
        <v>0</v>
      </c>
      <c r="BD50" s="428">
        <v>0</v>
      </c>
      <c r="BE50" s="428">
        <v>0</v>
      </c>
      <c r="BF50" s="428">
        <v>0</v>
      </c>
      <c r="BG50" s="428">
        <v>0</v>
      </c>
      <c r="BH50" s="428">
        <v>0</v>
      </c>
      <c r="BI50" s="428">
        <v>0</v>
      </c>
      <c r="BJ50" s="428">
        <v>0</v>
      </c>
      <c r="BK50" s="428">
        <v>0</v>
      </c>
      <c r="BL50" s="428">
        <v>0</v>
      </c>
      <c r="BM50" s="428">
        <v>0</v>
      </c>
      <c r="BN50" s="428">
        <v>0</v>
      </c>
      <c r="BO50" s="428">
        <v>0</v>
      </c>
      <c r="BP50" s="428">
        <v>0</v>
      </c>
      <c r="BQ50" s="428">
        <v>0</v>
      </c>
      <c r="BR50" s="428">
        <v>0</v>
      </c>
      <c r="BS50" s="428">
        <v>0</v>
      </c>
      <c r="BT50" s="428">
        <v>0</v>
      </c>
      <c r="BU50" s="428">
        <v>0</v>
      </c>
      <c r="BV50" s="428">
        <v>0</v>
      </c>
      <c r="BW50" s="428">
        <v>0</v>
      </c>
      <c r="BX50" s="428">
        <v>0</v>
      </c>
      <c r="BY50" s="428">
        <v>0</v>
      </c>
      <c r="BZ50" s="428">
        <v>0</v>
      </c>
      <c r="CA50" s="428">
        <v>0</v>
      </c>
      <c r="CB50" s="428">
        <v>0</v>
      </c>
      <c r="CC50" s="428">
        <v>0</v>
      </c>
      <c r="CD50" s="428">
        <v>0</v>
      </c>
      <c r="CE50" s="428">
        <v>0</v>
      </c>
      <c r="CF50" s="428">
        <v>0</v>
      </c>
      <c r="CG50" s="428">
        <v>0</v>
      </c>
      <c r="CH50" s="428">
        <v>0</v>
      </c>
      <c r="CI50" s="428">
        <v>0</v>
      </c>
      <c r="CJ50" s="428">
        <v>0</v>
      </c>
      <c r="CK50" s="428">
        <v>0</v>
      </c>
      <c r="CL50" s="428">
        <v>5300</v>
      </c>
      <c r="CM50" s="428">
        <v>0</v>
      </c>
      <c r="CN50" s="428">
        <v>0</v>
      </c>
      <c r="CO50" s="428">
        <v>0</v>
      </c>
      <c r="CP50" s="428">
        <v>0</v>
      </c>
      <c r="CQ50" s="428">
        <v>0</v>
      </c>
      <c r="CR50" s="428">
        <v>0</v>
      </c>
      <c r="CS50" s="428">
        <v>0</v>
      </c>
      <c r="CT50" s="428">
        <v>0</v>
      </c>
      <c r="CU50" s="428">
        <v>0</v>
      </c>
      <c r="CV50" s="428">
        <v>0</v>
      </c>
      <c r="CW50" s="428">
        <v>0</v>
      </c>
      <c r="CX50" s="428">
        <v>0</v>
      </c>
      <c r="CY50" s="428">
        <v>0</v>
      </c>
      <c r="CZ50" s="428">
        <v>0</v>
      </c>
      <c r="DA50" s="428">
        <v>0</v>
      </c>
      <c r="DB50" s="428">
        <v>0</v>
      </c>
      <c r="DC50" s="428">
        <v>0</v>
      </c>
      <c r="DD50" s="428">
        <v>0</v>
      </c>
      <c r="DE50" s="428">
        <v>0</v>
      </c>
      <c r="DF50" s="428">
        <v>0</v>
      </c>
      <c r="DG50" s="428">
        <v>0</v>
      </c>
      <c r="DH50" s="428">
        <v>0</v>
      </c>
      <c r="DI50" s="428">
        <v>0</v>
      </c>
      <c r="DJ50" s="428">
        <v>0</v>
      </c>
      <c r="DK50" s="428">
        <v>0</v>
      </c>
      <c r="DL50" s="428">
        <v>0</v>
      </c>
      <c r="DM50" s="428">
        <v>0</v>
      </c>
      <c r="DN50" s="428">
        <v>0</v>
      </c>
      <c r="DO50" s="428">
        <v>0</v>
      </c>
      <c r="DP50" s="428">
        <v>0</v>
      </c>
      <c r="DQ50" s="428">
        <v>0</v>
      </c>
      <c r="DR50" s="428">
        <v>0</v>
      </c>
      <c r="DS50" s="428">
        <v>0</v>
      </c>
      <c r="DT50" s="428">
        <v>0</v>
      </c>
      <c r="DU50" s="428">
        <v>0</v>
      </c>
      <c r="DV50" s="428">
        <v>0</v>
      </c>
      <c r="ED50" s="135"/>
      <c r="EE50" s="357" t="s">
        <v>645</v>
      </c>
      <c r="EF50" s="426" t="s">
        <v>777</v>
      </c>
      <c r="EG50" s="426">
        <v>2</v>
      </c>
      <c r="EH50" s="426">
        <v>22</v>
      </c>
      <c r="EI50" s="208" t="str">
        <f t="shared" si="2"/>
        <v>CLX200222</v>
      </c>
      <c r="EJ50" s="426">
        <v>265</v>
      </c>
      <c r="EK50" s="426">
        <v>530</v>
      </c>
      <c r="EL50" s="426">
        <v>795</v>
      </c>
      <c r="EM50" s="426">
        <v>1060</v>
      </c>
      <c r="EN50" s="426">
        <v>1325</v>
      </c>
      <c r="EO50" s="426">
        <v>1590</v>
      </c>
      <c r="EP50" s="426">
        <v>1855</v>
      </c>
      <c r="EQ50" s="426">
        <v>2120</v>
      </c>
      <c r="ER50" s="426">
        <v>2385</v>
      </c>
      <c r="ES50" s="426">
        <v>2650</v>
      </c>
      <c r="ET50" s="426">
        <v>2915</v>
      </c>
      <c r="EU50" s="426">
        <v>3180</v>
      </c>
      <c r="EV50" s="426">
        <v>3445</v>
      </c>
      <c r="EW50" s="426">
        <v>3710</v>
      </c>
      <c r="EX50" s="426">
        <v>3975</v>
      </c>
      <c r="EY50" s="426">
        <v>4240</v>
      </c>
      <c r="EZ50" s="426">
        <v>4505</v>
      </c>
      <c r="FA50" s="426">
        <v>4770</v>
      </c>
      <c r="FB50" s="426">
        <v>5035</v>
      </c>
      <c r="FC50" s="426">
        <v>5300</v>
      </c>
      <c r="FD50" s="426">
        <v>5300</v>
      </c>
      <c r="FE50" s="426">
        <v>5300</v>
      </c>
      <c r="FF50" s="426">
        <v>5300</v>
      </c>
      <c r="FG50" s="426">
        <v>5300</v>
      </c>
      <c r="FH50" s="426">
        <v>5300</v>
      </c>
      <c r="FI50" s="426">
        <v>5300</v>
      </c>
      <c r="FJ50" s="426">
        <v>5300</v>
      </c>
      <c r="FK50" s="426">
        <v>5300</v>
      </c>
      <c r="FL50" s="426">
        <v>5300</v>
      </c>
      <c r="FM50" s="426">
        <v>5300</v>
      </c>
      <c r="FN50" s="426">
        <v>5300</v>
      </c>
      <c r="FO50" s="426">
        <v>5300</v>
      </c>
      <c r="FP50" s="426">
        <v>5300</v>
      </c>
      <c r="FQ50" s="426">
        <v>5300</v>
      </c>
      <c r="FR50" s="426">
        <v>5300</v>
      </c>
      <c r="FS50" s="426">
        <v>5300</v>
      </c>
      <c r="FT50" s="426">
        <v>5300</v>
      </c>
      <c r="FU50" s="426">
        <v>5300</v>
      </c>
      <c r="FV50" s="426">
        <v>5300</v>
      </c>
      <c r="FW50" s="426">
        <v>5300</v>
      </c>
      <c r="FX50" s="426">
        <v>5300</v>
      </c>
      <c r="FY50" s="426">
        <v>5300</v>
      </c>
      <c r="FZ50" s="426">
        <v>5300</v>
      </c>
      <c r="GA50" s="426">
        <v>5300</v>
      </c>
      <c r="GB50" s="426">
        <v>5300</v>
      </c>
      <c r="GC50" s="426">
        <v>5300</v>
      </c>
      <c r="GD50" s="426">
        <v>5300</v>
      </c>
      <c r="GE50" s="426">
        <v>5300</v>
      </c>
      <c r="GF50" s="426">
        <v>5300</v>
      </c>
      <c r="GG50" s="426">
        <v>5300</v>
      </c>
      <c r="GH50" s="426">
        <v>5300</v>
      </c>
      <c r="GI50" s="426">
        <v>5300</v>
      </c>
      <c r="GJ50" s="426">
        <v>5300</v>
      </c>
      <c r="GK50" s="426">
        <v>5300</v>
      </c>
      <c r="GL50" s="426">
        <v>5300</v>
      </c>
      <c r="GM50" s="426">
        <v>5300</v>
      </c>
      <c r="GN50" s="426">
        <v>5300</v>
      </c>
      <c r="GO50" s="426">
        <v>5300</v>
      </c>
      <c r="GP50" s="426">
        <v>5300</v>
      </c>
      <c r="GQ50" s="426">
        <v>5300</v>
      </c>
      <c r="GR50" s="426">
        <v>5300</v>
      </c>
      <c r="GS50" s="426">
        <v>5300</v>
      </c>
      <c r="GT50" s="426">
        <v>5300</v>
      </c>
      <c r="GU50" s="426">
        <v>5300</v>
      </c>
      <c r="GV50" s="426">
        <v>5300</v>
      </c>
      <c r="GW50" s="426">
        <v>5300</v>
      </c>
      <c r="GX50" s="426">
        <v>5300</v>
      </c>
      <c r="GY50" s="426">
        <v>5300</v>
      </c>
      <c r="GZ50" s="426">
        <v>0</v>
      </c>
      <c r="HA50" s="426">
        <v>0</v>
      </c>
      <c r="HB50" s="426">
        <v>0</v>
      </c>
      <c r="HC50" s="426">
        <v>0</v>
      </c>
      <c r="HD50" s="426">
        <v>0</v>
      </c>
      <c r="HE50" s="426">
        <v>0</v>
      </c>
      <c r="HF50" s="426">
        <v>0</v>
      </c>
      <c r="HG50" s="426">
        <v>0</v>
      </c>
      <c r="HH50" s="426">
        <v>0</v>
      </c>
      <c r="HI50" s="426">
        <v>0</v>
      </c>
      <c r="HJ50" s="426">
        <v>0</v>
      </c>
      <c r="HK50" s="426">
        <v>0</v>
      </c>
      <c r="HL50" s="426">
        <v>0</v>
      </c>
      <c r="HM50" s="426">
        <v>0</v>
      </c>
      <c r="HN50" s="426">
        <v>0</v>
      </c>
      <c r="HO50" s="426">
        <v>0</v>
      </c>
      <c r="HP50" s="426">
        <v>0</v>
      </c>
      <c r="HQ50" s="426">
        <v>0</v>
      </c>
      <c r="HR50" s="426">
        <v>0</v>
      </c>
      <c r="HS50" s="426">
        <v>0</v>
      </c>
      <c r="HT50" s="426">
        <v>0</v>
      </c>
      <c r="HU50" s="426">
        <v>0</v>
      </c>
      <c r="HV50" s="426">
        <v>0</v>
      </c>
      <c r="HW50" s="426">
        <v>0</v>
      </c>
      <c r="HX50" s="426">
        <v>0</v>
      </c>
      <c r="HY50" s="426">
        <v>0</v>
      </c>
      <c r="HZ50" s="426">
        <v>0</v>
      </c>
      <c r="IA50" s="426">
        <v>0</v>
      </c>
      <c r="IB50" s="426">
        <v>0</v>
      </c>
      <c r="IC50" s="426">
        <v>0</v>
      </c>
      <c r="ID50" s="426">
        <v>0</v>
      </c>
      <c r="IE50" s="426">
        <v>0</v>
      </c>
      <c r="IF50" s="426">
        <v>0</v>
      </c>
      <c r="IG50" s="426">
        <v>0</v>
      </c>
      <c r="IH50" s="426">
        <v>0</v>
      </c>
      <c r="II50" s="426">
        <v>0</v>
      </c>
      <c r="IJ50" s="426">
        <v>0</v>
      </c>
      <c r="IK50" s="426">
        <v>0</v>
      </c>
      <c r="IL50" s="426">
        <v>0</v>
      </c>
      <c r="IM50" s="426">
        <v>0</v>
      </c>
      <c r="IN50" s="426">
        <v>0</v>
      </c>
      <c r="IO50" s="426">
        <v>0</v>
      </c>
      <c r="IP50" s="426">
        <v>0</v>
      </c>
    </row>
    <row r="51" spans="1:250" ht="15">
      <c r="A51" s="357" t="s">
        <v>645</v>
      </c>
      <c r="B51" s="427" t="s">
        <v>777</v>
      </c>
      <c r="C51" s="427"/>
      <c r="D51" s="427"/>
      <c r="E51" s="427"/>
      <c r="F51" s="427">
        <v>2</v>
      </c>
      <c r="G51" s="427"/>
      <c r="H51" s="427">
        <v>23</v>
      </c>
      <c r="I51" s="427"/>
      <c r="J51" t="str">
        <f t="shared" si="0"/>
        <v>CLX200223</v>
      </c>
      <c r="K51" s="427">
        <v>255</v>
      </c>
      <c r="R51" s="357" t="s">
        <v>645</v>
      </c>
      <c r="S51" s="428" t="s">
        <v>777</v>
      </c>
      <c r="T51" s="428">
        <v>2</v>
      </c>
      <c r="U51" s="428">
        <v>23</v>
      </c>
      <c r="V51" s="208" t="str">
        <f t="shared" si="1"/>
        <v>CLX200223</v>
      </c>
      <c r="W51" s="428">
        <v>0</v>
      </c>
      <c r="X51" s="428">
        <v>0</v>
      </c>
      <c r="Y51" s="428">
        <v>0</v>
      </c>
      <c r="Z51" s="428">
        <v>0</v>
      </c>
      <c r="AA51" s="428">
        <v>0</v>
      </c>
      <c r="AB51" s="428">
        <v>0</v>
      </c>
      <c r="AC51" s="428">
        <v>0</v>
      </c>
      <c r="AD51" s="428">
        <v>0</v>
      </c>
      <c r="AE51" s="428">
        <v>0</v>
      </c>
      <c r="AF51" s="428">
        <v>0</v>
      </c>
      <c r="AG51" s="428">
        <v>0</v>
      </c>
      <c r="AH51" s="428">
        <v>0</v>
      </c>
      <c r="AI51" s="428">
        <v>0</v>
      </c>
      <c r="AJ51" s="428">
        <v>0</v>
      </c>
      <c r="AK51" s="428">
        <v>0</v>
      </c>
      <c r="AL51" s="428">
        <v>0</v>
      </c>
      <c r="AM51" s="428">
        <v>0</v>
      </c>
      <c r="AN51" s="428">
        <v>0</v>
      </c>
      <c r="AO51" s="428">
        <v>0</v>
      </c>
      <c r="AP51" s="428">
        <v>0</v>
      </c>
      <c r="AQ51" s="428">
        <v>0</v>
      </c>
      <c r="AR51" s="428">
        <v>0</v>
      </c>
      <c r="AS51" s="428">
        <v>0</v>
      </c>
      <c r="AT51" s="428">
        <v>0</v>
      </c>
      <c r="AU51" s="428">
        <v>0</v>
      </c>
      <c r="AV51" s="428">
        <v>0</v>
      </c>
      <c r="AW51" s="428">
        <v>0</v>
      </c>
      <c r="AX51" s="428">
        <v>0</v>
      </c>
      <c r="AY51" s="428">
        <v>0</v>
      </c>
      <c r="AZ51" s="428">
        <v>0</v>
      </c>
      <c r="BA51" s="428">
        <v>0</v>
      </c>
      <c r="BB51" s="428">
        <v>0</v>
      </c>
      <c r="BC51" s="428">
        <v>0</v>
      </c>
      <c r="BD51" s="428">
        <v>0</v>
      </c>
      <c r="BE51" s="428">
        <v>0</v>
      </c>
      <c r="BF51" s="428">
        <v>0</v>
      </c>
      <c r="BG51" s="428">
        <v>0</v>
      </c>
      <c r="BH51" s="428">
        <v>0</v>
      </c>
      <c r="BI51" s="428">
        <v>0</v>
      </c>
      <c r="BJ51" s="428">
        <v>0</v>
      </c>
      <c r="BK51" s="428">
        <v>0</v>
      </c>
      <c r="BL51" s="428">
        <v>0</v>
      </c>
      <c r="BM51" s="428">
        <v>0</v>
      </c>
      <c r="BN51" s="428">
        <v>0</v>
      </c>
      <c r="BO51" s="428">
        <v>0</v>
      </c>
      <c r="BP51" s="428">
        <v>0</v>
      </c>
      <c r="BQ51" s="428">
        <v>0</v>
      </c>
      <c r="BR51" s="428">
        <v>0</v>
      </c>
      <c r="BS51" s="428">
        <v>0</v>
      </c>
      <c r="BT51" s="428">
        <v>0</v>
      </c>
      <c r="BU51" s="428">
        <v>0</v>
      </c>
      <c r="BV51" s="428">
        <v>0</v>
      </c>
      <c r="BW51" s="428">
        <v>0</v>
      </c>
      <c r="BX51" s="428">
        <v>0</v>
      </c>
      <c r="BY51" s="428">
        <v>0</v>
      </c>
      <c r="BZ51" s="428">
        <v>0</v>
      </c>
      <c r="CA51" s="428">
        <v>0</v>
      </c>
      <c r="CB51" s="428">
        <v>0</v>
      </c>
      <c r="CC51" s="428">
        <v>0</v>
      </c>
      <c r="CD51" s="428">
        <v>0</v>
      </c>
      <c r="CE51" s="428">
        <v>0</v>
      </c>
      <c r="CF51" s="428">
        <v>0</v>
      </c>
      <c r="CG51" s="428">
        <v>0</v>
      </c>
      <c r="CH51" s="428">
        <v>0</v>
      </c>
      <c r="CI51" s="428">
        <v>0</v>
      </c>
      <c r="CJ51" s="428">
        <v>0</v>
      </c>
      <c r="CK51" s="428">
        <v>5406</v>
      </c>
      <c r="CL51" s="428">
        <v>0</v>
      </c>
      <c r="CM51" s="428">
        <v>0</v>
      </c>
      <c r="CN51" s="428">
        <v>0</v>
      </c>
      <c r="CO51" s="428">
        <v>0</v>
      </c>
      <c r="CP51" s="428">
        <v>0</v>
      </c>
      <c r="CQ51" s="428">
        <v>0</v>
      </c>
      <c r="CR51" s="428">
        <v>0</v>
      </c>
      <c r="CS51" s="428">
        <v>0</v>
      </c>
      <c r="CT51" s="428">
        <v>0</v>
      </c>
      <c r="CU51" s="428">
        <v>0</v>
      </c>
      <c r="CV51" s="428">
        <v>0</v>
      </c>
      <c r="CW51" s="428">
        <v>0</v>
      </c>
      <c r="CX51" s="428">
        <v>0</v>
      </c>
      <c r="CY51" s="428">
        <v>0</v>
      </c>
      <c r="CZ51" s="428">
        <v>0</v>
      </c>
      <c r="DA51" s="428">
        <v>0</v>
      </c>
      <c r="DB51" s="428">
        <v>0</v>
      </c>
      <c r="DC51" s="428">
        <v>0</v>
      </c>
      <c r="DD51" s="428">
        <v>0</v>
      </c>
      <c r="DE51" s="428">
        <v>0</v>
      </c>
      <c r="DF51" s="428">
        <v>0</v>
      </c>
      <c r="DG51" s="428">
        <v>0</v>
      </c>
      <c r="DH51" s="428">
        <v>0</v>
      </c>
      <c r="DI51" s="428">
        <v>0</v>
      </c>
      <c r="DJ51" s="428">
        <v>0</v>
      </c>
      <c r="DK51" s="428">
        <v>0</v>
      </c>
      <c r="DL51" s="428">
        <v>0</v>
      </c>
      <c r="DM51" s="428">
        <v>0</v>
      </c>
      <c r="DN51" s="428">
        <v>0</v>
      </c>
      <c r="DO51" s="428">
        <v>0</v>
      </c>
      <c r="DP51" s="428">
        <v>0</v>
      </c>
      <c r="DQ51" s="428">
        <v>0</v>
      </c>
      <c r="DR51" s="428">
        <v>0</v>
      </c>
      <c r="DS51" s="428">
        <v>0</v>
      </c>
      <c r="DT51" s="428">
        <v>0</v>
      </c>
      <c r="DU51" s="428">
        <v>0</v>
      </c>
      <c r="DV51" s="428">
        <v>0</v>
      </c>
      <c r="ED51" s="135"/>
      <c r="EE51" s="357" t="s">
        <v>645</v>
      </c>
      <c r="EF51" s="426" t="s">
        <v>777</v>
      </c>
      <c r="EG51" s="426">
        <v>2</v>
      </c>
      <c r="EH51" s="426">
        <v>23</v>
      </c>
      <c r="EI51" s="208" t="str">
        <f t="shared" si="2"/>
        <v>CLX200223</v>
      </c>
      <c r="EJ51" s="426">
        <v>270.3</v>
      </c>
      <c r="EK51" s="426">
        <v>540.6</v>
      </c>
      <c r="EL51" s="426">
        <v>810.9</v>
      </c>
      <c r="EM51" s="426">
        <v>1081.2</v>
      </c>
      <c r="EN51" s="426">
        <v>1351.5</v>
      </c>
      <c r="EO51" s="426">
        <v>1621.8</v>
      </c>
      <c r="EP51" s="426">
        <v>1892.1</v>
      </c>
      <c r="EQ51" s="426">
        <v>2162.4</v>
      </c>
      <c r="ER51" s="426">
        <v>2432.6999999999998</v>
      </c>
      <c r="ES51" s="426">
        <v>2703</v>
      </c>
      <c r="ET51" s="426">
        <v>2973.3</v>
      </c>
      <c r="EU51" s="426">
        <v>3243.6</v>
      </c>
      <c r="EV51" s="426">
        <v>3513.9</v>
      </c>
      <c r="EW51" s="426">
        <v>3784.2</v>
      </c>
      <c r="EX51" s="426">
        <v>4054.5</v>
      </c>
      <c r="EY51" s="426">
        <v>4324.8</v>
      </c>
      <c r="EZ51" s="426">
        <v>4595.1000000000004</v>
      </c>
      <c r="FA51" s="426">
        <v>4865.3999999999996</v>
      </c>
      <c r="FB51" s="426">
        <v>5135.7</v>
      </c>
      <c r="FC51" s="426">
        <v>5406</v>
      </c>
      <c r="FD51" s="426">
        <v>5406</v>
      </c>
      <c r="FE51" s="426">
        <v>5406</v>
      </c>
      <c r="FF51" s="426">
        <v>5406</v>
      </c>
      <c r="FG51" s="426">
        <v>5406</v>
      </c>
      <c r="FH51" s="426">
        <v>5406</v>
      </c>
      <c r="FI51" s="426">
        <v>5406</v>
      </c>
      <c r="FJ51" s="426">
        <v>5406</v>
      </c>
      <c r="FK51" s="426">
        <v>5406</v>
      </c>
      <c r="FL51" s="426">
        <v>5406</v>
      </c>
      <c r="FM51" s="426">
        <v>5406</v>
      </c>
      <c r="FN51" s="426">
        <v>5406</v>
      </c>
      <c r="FO51" s="426">
        <v>5406</v>
      </c>
      <c r="FP51" s="426">
        <v>5406</v>
      </c>
      <c r="FQ51" s="426">
        <v>5406</v>
      </c>
      <c r="FR51" s="426">
        <v>5406</v>
      </c>
      <c r="FS51" s="426">
        <v>5406</v>
      </c>
      <c r="FT51" s="426">
        <v>5406</v>
      </c>
      <c r="FU51" s="426">
        <v>5406</v>
      </c>
      <c r="FV51" s="426">
        <v>5406</v>
      </c>
      <c r="FW51" s="426">
        <v>5406</v>
      </c>
      <c r="FX51" s="426">
        <v>5406</v>
      </c>
      <c r="FY51" s="426">
        <v>5406</v>
      </c>
      <c r="FZ51" s="426">
        <v>5406</v>
      </c>
      <c r="GA51" s="426">
        <v>5406</v>
      </c>
      <c r="GB51" s="426">
        <v>5406</v>
      </c>
      <c r="GC51" s="426">
        <v>5406</v>
      </c>
      <c r="GD51" s="426">
        <v>5406</v>
      </c>
      <c r="GE51" s="426">
        <v>5406</v>
      </c>
      <c r="GF51" s="426">
        <v>5406</v>
      </c>
      <c r="GG51" s="426">
        <v>5406</v>
      </c>
      <c r="GH51" s="426">
        <v>5406</v>
      </c>
      <c r="GI51" s="426">
        <v>5406</v>
      </c>
      <c r="GJ51" s="426">
        <v>5406</v>
      </c>
      <c r="GK51" s="426">
        <v>5406</v>
      </c>
      <c r="GL51" s="426">
        <v>5406</v>
      </c>
      <c r="GM51" s="426">
        <v>5406</v>
      </c>
      <c r="GN51" s="426">
        <v>5406</v>
      </c>
      <c r="GO51" s="426">
        <v>5406</v>
      </c>
      <c r="GP51" s="426">
        <v>5406</v>
      </c>
      <c r="GQ51" s="426">
        <v>5406</v>
      </c>
      <c r="GR51" s="426">
        <v>5406</v>
      </c>
      <c r="GS51" s="426">
        <v>5406</v>
      </c>
      <c r="GT51" s="426">
        <v>5406</v>
      </c>
      <c r="GU51" s="426">
        <v>5406</v>
      </c>
      <c r="GV51" s="426">
        <v>5406</v>
      </c>
      <c r="GW51" s="426">
        <v>5406</v>
      </c>
      <c r="GX51" s="426">
        <v>5406</v>
      </c>
      <c r="GY51" s="426">
        <v>0</v>
      </c>
      <c r="GZ51" s="426">
        <v>0</v>
      </c>
      <c r="HA51" s="426">
        <v>0</v>
      </c>
      <c r="HB51" s="426">
        <v>0</v>
      </c>
      <c r="HC51" s="426">
        <v>0</v>
      </c>
      <c r="HD51" s="426">
        <v>0</v>
      </c>
      <c r="HE51" s="426">
        <v>0</v>
      </c>
      <c r="HF51" s="426">
        <v>0</v>
      </c>
      <c r="HG51" s="426">
        <v>0</v>
      </c>
      <c r="HH51" s="426">
        <v>0</v>
      </c>
      <c r="HI51" s="426">
        <v>0</v>
      </c>
      <c r="HJ51" s="426">
        <v>0</v>
      </c>
      <c r="HK51" s="426">
        <v>0</v>
      </c>
      <c r="HL51" s="426">
        <v>0</v>
      </c>
      <c r="HM51" s="426">
        <v>0</v>
      </c>
      <c r="HN51" s="426">
        <v>0</v>
      </c>
      <c r="HO51" s="426">
        <v>0</v>
      </c>
      <c r="HP51" s="426">
        <v>0</v>
      </c>
      <c r="HQ51" s="426">
        <v>0</v>
      </c>
      <c r="HR51" s="426">
        <v>0</v>
      </c>
      <c r="HS51" s="426">
        <v>0</v>
      </c>
      <c r="HT51" s="426">
        <v>0</v>
      </c>
      <c r="HU51" s="426">
        <v>0</v>
      </c>
      <c r="HV51" s="426">
        <v>0</v>
      </c>
      <c r="HW51" s="426">
        <v>0</v>
      </c>
      <c r="HX51" s="426">
        <v>0</v>
      </c>
      <c r="HY51" s="426">
        <v>0</v>
      </c>
      <c r="HZ51" s="426">
        <v>0</v>
      </c>
      <c r="IA51" s="426">
        <v>0</v>
      </c>
      <c r="IB51" s="426">
        <v>0</v>
      </c>
      <c r="IC51" s="426">
        <v>0</v>
      </c>
      <c r="ID51" s="426">
        <v>0</v>
      </c>
      <c r="IE51" s="426">
        <v>0</v>
      </c>
      <c r="IF51" s="426">
        <v>0</v>
      </c>
      <c r="IG51" s="426">
        <v>0</v>
      </c>
      <c r="IH51" s="426">
        <v>0</v>
      </c>
      <c r="II51" s="426">
        <v>0</v>
      </c>
      <c r="IJ51" s="426">
        <v>0</v>
      </c>
      <c r="IK51" s="426">
        <v>0</v>
      </c>
      <c r="IL51" s="426">
        <v>0</v>
      </c>
      <c r="IM51" s="426">
        <v>0</v>
      </c>
      <c r="IN51" s="426">
        <v>0</v>
      </c>
      <c r="IO51" s="426">
        <v>0</v>
      </c>
      <c r="IP51" s="426">
        <v>0</v>
      </c>
    </row>
    <row r="52" spans="1:250" ht="15">
      <c r="A52" s="357" t="s">
        <v>645</v>
      </c>
      <c r="B52" s="427" t="s">
        <v>777</v>
      </c>
      <c r="C52" s="427"/>
      <c r="D52" s="427"/>
      <c r="E52" s="427"/>
      <c r="F52" s="427">
        <v>2</v>
      </c>
      <c r="G52" s="427"/>
      <c r="H52" s="427">
        <v>24</v>
      </c>
      <c r="I52" s="427"/>
      <c r="J52" t="str">
        <f t="shared" si="0"/>
        <v>CLX200224</v>
      </c>
      <c r="K52" s="427">
        <v>260</v>
      </c>
      <c r="R52" s="357" t="s">
        <v>645</v>
      </c>
      <c r="S52" s="428" t="s">
        <v>777</v>
      </c>
      <c r="T52" s="428">
        <v>2</v>
      </c>
      <c r="U52" s="428">
        <v>24</v>
      </c>
      <c r="V52" s="208" t="str">
        <f t="shared" si="1"/>
        <v>CLX200224</v>
      </c>
      <c r="W52" s="428">
        <v>0</v>
      </c>
      <c r="X52" s="428">
        <v>0</v>
      </c>
      <c r="Y52" s="428">
        <v>0</v>
      </c>
      <c r="Z52" s="428">
        <v>0</v>
      </c>
      <c r="AA52" s="428">
        <v>0</v>
      </c>
      <c r="AB52" s="428">
        <v>0</v>
      </c>
      <c r="AC52" s="428">
        <v>0</v>
      </c>
      <c r="AD52" s="428">
        <v>0</v>
      </c>
      <c r="AE52" s="428">
        <v>0</v>
      </c>
      <c r="AF52" s="428">
        <v>0</v>
      </c>
      <c r="AG52" s="428">
        <v>0</v>
      </c>
      <c r="AH52" s="428">
        <v>0</v>
      </c>
      <c r="AI52" s="428">
        <v>0</v>
      </c>
      <c r="AJ52" s="428">
        <v>0</v>
      </c>
      <c r="AK52" s="428">
        <v>0</v>
      </c>
      <c r="AL52" s="428">
        <v>0</v>
      </c>
      <c r="AM52" s="428">
        <v>0</v>
      </c>
      <c r="AN52" s="428">
        <v>0</v>
      </c>
      <c r="AO52" s="428">
        <v>0</v>
      </c>
      <c r="AP52" s="428">
        <v>0</v>
      </c>
      <c r="AQ52" s="428">
        <v>0</v>
      </c>
      <c r="AR52" s="428">
        <v>0</v>
      </c>
      <c r="AS52" s="428">
        <v>0</v>
      </c>
      <c r="AT52" s="428">
        <v>0</v>
      </c>
      <c r="AU52" s="428">
        <v>0</v>
      </c>
      <c r="AV52" s="428">
        <v>0</v>
      </c>
      <c r="AW52" s="428">
        <v>0</v>
      </c>
      <c r="AX52" s="428">
        <v>0</v>
      </c>
      <c r="AY52" s="428">
        <v>0</v>
      </c>
      <c r="AZ52" s="428">
        <v>0</v>
      </c>
      <c r="BA52" s="428">
        <v>0</v>
      </c>
      <c r="BB52" s="428">
        <v>0</v>
      </c>
      <c r="BC52" s="428">
        <v>0</v>
      </c>
      <c r="BD52" s="428">
        <v>0</v>
      </c>
      <c r="BE52" s="428">
        <v>0</v>
      </c>
      <c r="BF52" s="428">
        <v>0</v>
      </c>
      <c r="BG52" s="428">
        <v>0</v>
      </c>
      <c r="BH52" s="428">
        <v>0</v>
      </c>
      <c r="BI52" s="428">
        <v>0</v>
      </c>
      <c r="BJ52" s="428">
        <v>0</v>
      </c>
      <c r="BK52" s="428">
        <v>0</v>
      </c>
      <c r="BL52" s="428">
        <v>0</v>
      </c>
      <c r="BM52" s="428">
        <v>0</v>
      </c>
      <c r="BN52" s="428">
        <v>0</v>
      </c>
      <c r="BO52" s="428">
        <v>0</v>
      </c>
      <c r="BP52" s="428">
        <v>0</v>
      </c>
      <c r="BQ52" s="428">
        <v>0</v>
      </c>
      <c r="BR52" s="428">
        <v>0</v>
      </c>
      <c r="BS52" s="428">
        <v>0</v>
      </c>
      <c r="BT52" s="428">
        <v>0</v>
      </c>
      <c r="BU52" s="428">
        <v>0</v>
      </c>
      <c r="BV52" s="428">
        <v>0</v>
      </c>
      <c r="BW52" s="428">
        <v>0</v>
      </c>
      <c r="BX52" s="428">
        <v>0</v>
      </c>
      <c r="BY52" s="428">
        <v>0</v>
      </c>
      <c r="BZ52" s="428">
        <v>0</v>
      </c>
      <c r="CA52" s="428">
        <v>0</v>
      </c>
      <c r="CB52" s="428">
        <v>0</v>
      </c>
      <c r="CC52" s="428">
        <v>0</v>
      </c>
      <c r="CD52" s="428">
        <v>0</v>
      </c>
      <c r="CE52" s="428">
        <v>0</v>
      </c>
      <c r="CF52" s="428">
        <v>0</v>
      </c>
      <c r="CG52" s="428">
        <v>0</v>
      </c>
      <c r="CH52" s="428">
        <v>0</v>
      </c>
      <c r="CI52" s="428">
        <v>0</v>
      </c>
      <c r="CJ52" s="428">
        <v>5512</v>
      </c>
      <c r="CK52" s="428">
        <v>0</v>
      </c>
      <c r="CL52" s="428">
        <v>0</v>
      </c>
      <c r="CM52" s="428">
        <v>0</v>
      </c>
      <c r="CN52" s="428">
        <v>0</v>
      </c>
      <c r="CO52" s="428">
        <v>0</v>
      </c>
      <c r="CP52" s="428">
        <v>0</v>
      </c>
      <c r="CQ52" s="428">
        <v>0</v>
      </c>
      <c r="CR52" s="428">
        <v>0</v>
      </c>
      <c r="CS52" s="428">
        <v>0</v>
      </c>
      <c r="CT52" s="428">
        <v>0</v>
      </c>
      <c r="CU52" s="428">
        <v>0</v>
      </c>
      <c r="CV52" s="428">
        <v>0</v>
      </c>
      <c r="CW52" s="428">
        <v>0</v>
      </c>
      <c r="CX52" s="428">
        <v>0</v>
      </c>
      <c r="CY52" s="428">
        <v>0</v>
      </c>
      <c r="CZ52" s="428">
        <v>0</v>
      </c>
      <c r="DA52" s="428">
        <v>0</v>
      </c>
      <c r="DB52" s="428">
        <v>0</v>
      </c>
      <c r="DC52" s="428">
        <v>0</v>
      </c>
      <c r="DD52" s="428">
        <v>0</v>
      </c>
      <c r="DE52" s="428">
        <v>0</v>
      </c>
      <c r="DF52" s="428">
        <v>0</v>
      </c>
      <c r="DG52" s="428">
        <v>0</v>
      </c>
      <c r="DH52" s="428">
        <v>0</v>
      </c>
      <c r="DI52" s="428">
        <v>0</v>
      </c>
      <c r="DJ52" s="428">
        <v>0</v>
      </c>
      <c r="DK52" s="428">
        <v>0</v>
      </c>
      <c r="DL52" s="428">
        <v>0</v>
      </c>
      <c r="DM52" s="428">
        <v>0</v>
      </c>
      <c r="DN52" s="428">
        <v>0</v>
      </c>
      <c r="DO52" s="428">
        <v>0</v>
      </c>
      <c r="DP52" s="428">
        <v>0</v>
      </c>
      <c r="DQ52" s="428">
        <v>0</v>
      </c>
      <c r="DR52" s="428">
        <v>0</v>
      </c>
      <c r="DS52" s="428">
        <v>0</v>
      </c>
      <c r="DT52" s="428">
        <v>0</v>
      </c>
      <c r="DU52" s="428">
        <v>0</v>
      </c>
      <c r="DV52" s="428">
        <v>0</v>
      </c>
      <c r="ED52" s="135"/>
      <c r="EE52" s="357" t="s">
        <v>645</v>
      </c>
      <c r="EF52" s="426" t="s">
        <v>777</v>
      </c>
      <c r="EG52" s="426">
        <v>2</v>
      </c>
      <c r="EH52" s="426">
        <v>24</v>
      </c>
      <c r="EI52" s="208" t="str">
        <f t="shared" si="2"/>
        <v>CLX200224</v>
      </c>
      <c r="EJ52" s="426">
        <v>275.60000000000002</v>
      </c>
      <c r="EK52" s="426">
        <v>551.20000000000005</v>
      </c>
      <c r="EL52" s="426">
        <v>826.8</v>
      </c>
      <c r="EM52" s="426">
        <v>1102.4000000000001</v>
      </c>
      <c r="EN52" s="426">
        <v>1378</v>
      </c>
      <c r="EO52" s="426">
        <v>1653.6</v>
      </c>
      <c r="EP52" s="426">
        <v>1929.2</v>
      </c>
      <c r="EQ52" s="426">
        <v>2204.8000000000002</v>
      </c>
      <c r="ER52" s="426">
        <v>2480.4</v>
      </c>
      <c r="ES52" s="426">
        <v>2756</v>
      </c>
      <c r="ET52" s="426">
        <v>3031.6</v>
      </c>
      <c r="EU52" s="426">
        <v>3307.2</v>
      </c>
      <c r="EV52" s="426">
        <v>3582.8</v>
      </c>
      <c r="EW52" s="426">
        <v>3858.4</v>
      </c>
      <c r="EX52" s="426">
        <v>4134</v>
      </c>
      <c r="EY52" s="426">
        <v>4409.6000000000004</v>
      </c>
      <c r="EZ52" s="426">
        <v>4685.2</v>
      </c>
      <c r="FA52" s="426">
        <v>4960.8</v>
      </c>
      <c r="FB52" s="426">
        <v>5236.3999999999996</v>
      </c>
      <c r="FC52" s="426">
        <v>5512</v>
      </c>
      <c r="FD52" s="426">
        <v>5512</v>
      </c>
      <c r="FE52" s="426">
        <v>5512</v>
      </c>
      <c r="FF52" s="426">
        <v>5512</v>
      </c>
      <c r="FG52" s="426">
        <v>5512</v>
      </c>
      <c r="FH52" s="426">
        <v>5512</v>
      </c>
      <c r="FI52" s="426">
        <v>5512</v>
      </c>
      <c r="FJ52" s="426">
        <v>5512</v>
      </c>
      <c r="FK52" s="426">
        <v>5512</v>
      </c>
      <c r="FL52" s="426">
        <v>5512</v>
      </c>
      <c r="FM52" s="426">
        <v>5512</v>
      </c>
      <c r="FN52" s="426">
        <v>5512</v>
      </c>
      <c r="FO52" s="426">
        <v>5512</v>
      </c>
      <c r="FP52" s="426">
        <v>5512</v>
      </c>
      <c r="FQ52" s="426">
        <v>5512</v>
      </c>
      <c r="FR52" s="426">
        <v>5512</v>
      </c>
      <c r="FS52" s="426">
        <v>5512</v>
      </c>
      <c r="FT52" s="426">
        <v>5512</v>
      </c>
      <c r="FU52" s="426">
        <v>5512</v>
      </c>
      <c r="FV52" s="426">
        <v>5512</v>
      </c>
      <c r="FW52" s="426">
        <v>5512</v>
      </c>
      <c r="FX52" s="426">
        <v>5512</v>
      </c>
      <c r="FY52" s="426">
        <v>5512</v>
      </c>
      <c r="FZ52" s="426">
        <v>5512</v>
      </c>
      <c r="GA52" s="426">
        <v>5512</v>
      </c>
      <c r="GB52" s="426">
        <v>5512</v>
      </c>
      <c r="GC52" s="426">
        <v>5512</v>
      </c>
      <c r="GD52" s="426">
        <v>5512</v>
      </c>
      <c r="GE52" s="426">
        <v>5512</v>
      </c>
      <c r="GF52" s="426">
        <v>5512</v>
      </c>
      <c r="GG52" s="426">
        <v>5512</v>
      </c>
      <c r="GH52" s="426">
        <v>5512</v>
      </c>
      <c r="GI52" s="426">
        <v>5512</v>
      </c>
      <c r="GJ52" s="426">
        <v>5512</v>
      </c>
      <c r="GK52" s="426">
        <v>5512</v>
      </c>
      <c r="GL52" s="426">
        <v>5512</v>
      </c>
      <c r="GM52" s="426">
        <v>5512</v>
      </c>
      <c r="GN52" s="426">
        <v>5512</v>
      </c>
      <c r="GO52" s="426">
        <v>5512</v>
      </c>
      <c r="GP52" s="426">
        <v>5512</v>
      </c>
      <c r="GQ52" s="426">
        <v>5512</v>
      </c>
      <c r="GR52" s="426">
        <v>5512</v>
      </c>
      <c r="GS52" s="426">
        <v>5512</v>
      </c>
      <c r="GT52" s="426">
        <v>5512</v>
      </c>
      <c r="GU52" s="426">
        <v>5512</v>
      </c>
      <c r="GV52" s="426">
        <v>5512</v>
      </c>
      <c r="GW52" s="426">
        <v>5512</v>
      </c>
      <c r="GX52" s="426">
        <v>0</v>
      </c>
      <c r="GY52" s="426">
        <v>0</v>
      </c>
      <c r="GZ52" s="426">
        <v>0</v>
      </c>
      <c r="HA52" s="426">
        <v>0</v>
      </c>
      <c r="HB52" s="426">
        <v>0</v>
      </c>
      <c r="HC52" s="426">
        <v>0</v>
      </c>
      <c r="HD52" s="426">
        <v>0</v>
      </c>
      <c r="HE52" s="426">
        <v>0</v>
      </c>
      <c r="HF52" s="426">
        <v>0</v>
      </c>
      <c r="HG52" s="426">
        <v>0</v>
      </c>
      <c r="HH52" s="426">
        <v>0</v>
      </c>
      <c r="HI52" s="426">
        <v>0</v>
      </c>
      <c r="HJ52" s="426">
        <v>0</v>
      </c>
      <c r="HK52" s="426">
        <v>0</v>
      </c>
      <c r="HL52" s="426">
        <v>0</v>
      </c>
      <c r="HM52" s="426">
        <v>0</v>
      </c>
      <c r="HN52" s="426">
        <v>0</v>
      </c>
      <c r="HO52" s="426">
        <v>0</v>
      </c>
      <c r="HP52" s="426">
        <v>0</v>
      </c>
      <c r="HQ52" s="426">
        <v>0</v>
      </c>
      <c r="HR52" s="426">
        <v>0</v>
      </c>
      <c r="HS52" s="426">
        <v>0</v>
      </c>
      <c r="HT52" s="426">
        <v>0</v>
      </c>
      <c r="HU52" s="426">
        <v>0</v>
      </c>
      <c r="HV52" s="426">
        <v>0</v>
      </c>
      <c r="HW52" s="426">
        <v>0</v>
      </c>
      <c r="HX52" s="426">
        <v>0</v>
      </c>
      <c r="HY52" s="426">
        <v>0</v>
      </c>
      <c r="HZ52" s="426">
        <v>0</v>
      </c>
      <c r="IA52" s="426">
        <v>0</v>
      </c>
      <c r="IB52" s="426">
        <v>0</v>
      </c>
      <c r="IC52" s="426">
        <v>0</v>
      </c>
      <c r="ID52" s="426">
        <v>0</v>
      </c>
      <c r="IE52" s="426">
        <v>0</v>
      </c>
      <c r="IF52" s="426">
        <v>0</v>
      </c>
      <c r="IG52" s="426">
        <v>0</v>
      </c>
      <c r="IH52" s="426">
        <v>0</v>
      </c>
      <c r="II52" s="426">
        <v>0</v>
      </c>
      <c r="IJ52" s="426">
        <v>0</v>
      </c>
      <c r="IK52" s="426">
        <v>0</v>
      </c>
      <c r="IL52" s="426">
        <v>0</v>
      </c>
      <c r="IM52" s="426">
        <v>0</v>
      </c>
      <c r="IN52" s="426">
        <v>0</v>
      </c>
      <c r="IO52" s="426">
        <v>0</v>
      </c>
      <c r="IP52" s="426">
        <v>0</v>
      </c>
    </row>
    <row r="53" spans="1:250" ht="15">
      <c r="A53" s="357" t="s">
        <v>645</v>
      </c>
      <c r="B53" s="427" t="s">
        <v>777</v>
      </c>
      <c r="C53" s="427"/>
      <c r="D53" s="427"/>
      <c r="E53" s="427"/>
      <c r="F53" s="427">
        <v>2</v>
      </c>
      <c r="G53" s="427"/>
      <c r="H53" s="427">
        <v>25</v>
      </c>
      <c r="I53" s="427"/>
      <c r="J53" t="str">
        <f t="shared" si="0"/>
        <v>CLX200225</v>
      </c>
      <c r="K53" s="427">
        <v>265</v>
      </c>
      <c r="R53" s="357" t="s">
        <v>645</v>
      </c>
      <c r="S53" s="428" t="s">
        <v>777</v>
      </c>
      <c r="T53" s="428">
        <v>2</v>
      </c>
      <c r="U53" s="428">
        <v>25</v>
      </c>
      <c r="V53" s="208" t="str">
        <f t="shared" si="1"/>
        <v>CLX200225</v>
      </c>
      <c r="W53" s="428">
        <v>0</v>
      </c>
      <c r="X53" s="428">
        <v>0</v>
      </c>
      <c r="Y53" s="428">
        <v>0</v>
      </c>
      <c r="Z53" s="428">
        <v>0</v>
      </c>
      <c r="AA53" s="428">
        <v>0</v>
      </c>
      <c r="AB53" s="428">
        <v>0</v>
      </c>
      <c r="AC53" s="428">
        <v>0</v>
      </c>
      <c r="AD53" s="428">
        <v>0</v>
      </c>
      <c r="AE53" s="428">
        <v>0</v>
      </c>
      <c r="AF53" s="428">
        <v>0</v>
      </c>
      <c r="AG53" s="428">
        <v>0</v>
      </c>
      <c r="AH53" s="428">
        <v>0</v>
      </c>
      <c r="AI53" s="428">
        <v>0</v>
      </c>
      <c r="AJ53" s="428">
        <v>0</v>
      </c>
      <c r="AK53" s="428">
        <v>0</v>
      </c>
      <c r="AL53" s="428">
        <v>0</v>
      </c>
      <c r="AM53" s="428">
        <v>0</v>
      </c>
      <c r="AN53" s="428">
        <v>0</v>
      </c>
      <c r="AO53" s="428">
        <v>0</v>
      </c>
      <c r="AP53" s="428">
        <v>0</v>
      </c>
      <c r="AQ53" s="428">
        <v>0</v>
      </c>
      <c r="AR53" s="428">
        <v>0</v>
      </c>
      <c r="AS53" s="428">
        <v>0</v>
      </c>
      <c r="AT53" s="428">
        <v>0</v>
      </c>
      <c r="AU53" s="428">
        <v>0</v>
      </c>
      <c r="AV53" s="428">
        <v>0</v>
      </c>
      <c r="AW53" s="428">
        <v>0</v>
      </c>
      <c r="AX53" s="428">
        <v>0</v>
      </c>
      <c r="AY53" s="428">
        <v>0</v>
      </c>
      <c r="AZ53" s="428">
        <v>0</v>
      </c>
      <c r="BA53" s="428">
        <v>0</v>
      </c>
      <c r="BB53" s="428">
        <v>0</v>
      </c>
      <c r="BC53" s="428">
        <v>0</v>
      </c>
      <c r="BD53" s="428">
        <v>0</v>
      </c>
      <c r="BE53" s="428">
        <v>0</v>
      </c>
      <c r="BF53" s="428">
        <v>0</v>
      </c>
      <c r="BG53" s="428">
        <v>0</v>
      </c>
      <c r="BH53" s="428">
        <v>0</v>
      </c>
      <c r="BI53" s="428">
        <v>0</v>
      </c>
      <c r="BJ53" s="428">
        <v>0</v>
      </c>
      <c r="BK53" s="428">
        <v>0</v>
      </c>
      <c r="BL53" s="428">
        <v>0</v>
      </c>
      <c r="BM53" s="428">
        <v>0</v>
      </c>
      <c r="BN53" s="428">
        <v>0</v>
      </c>
      <c r="BO53" s="428">
        <v>0</v>
      </c>
      <c r="BP53" s="428">
        <v>0</v>
      </c>
      <c r="BQ53" s="428">
        <v>0</v>
      </c>
      <c r="BR53" s="428">
        <v>0</v>
      </c>
      <c r="BS53" s="428">
        <v>0</v>
      </c>
      <c r="BT53" s="428">
        <v>0</v>
      </c>
      <c r="BU53" s="428">
        <v>0</v>
      </c>
      <c r="BV53" s="428">
        <v>0</v>
      </c>
      <c r="BW53" s="428">
        <v>0</v>
      </c>
      <c r="BX53" s="428">
        <v>0</v>
      </c>
      <c r="BY53" s="428">
        <v>0</v>
      </c>
      <c r="BZ53" s="428">
        <v>0</v>
      </c>
      <c r="CA53" s="428">
        <v>0</v>
      </c>
      <c r="CB53" s="428">
        <v>0</v>
      </c>
      <c r="CC53" s="428">
        <v>0</v>
      </c>
      <c r="CD53" s="428">
        <v>0</v>
      </c>
      <c r="CE53" s="428">
        <v>0</v>
      </c>
      <c r="CF53" s="428">
        <v>0</v>
      </c>
      <c r="CG53" s="428">
        <v>0</v>
      </c>
      <c r="CH53" s="428">
        <v>0</v>
      </c>
      <c r="CI53" s="428">
        <v>5618.0000000000009</v>
      </c>
      <c r="CJ53" s="428">
        <v>0</v>
      </c>
      <c r="CK53" s="428">
        <v>0</v>
      </c>
      <c r="CL53" s="428">
        <v>0</v>
      </c>
      <c r="CM53" s="428">
        <v>0</v>
      </c>
      <c r="CN53" s="428">
        <v>0</v>
      </c>
      <c r="CO53" s="428">
        <v>0</v>
      </c>
      <c r="CP53" s="428">
        <v>0</v>
      </c>
      <c r="CQ53" s="428">
        <v>0</v>
      </c>
      <c r="CR53" s="428">
        <v>0</v>
      </c>
      <c r="CS53" s="428">
        <v>0</v>
      </c>
      <c r="CT53" s="428">
        <v>0</v>
      </c>
      <c r="CU53" s="428">
        <v>0</v>
      </c>
      <c r="CV53" s="428">
        <v>0</v>
      </c>
      <c r="CW53" s="428">
        <v>0</v>
      </c>
      <c r="CX53" s="428">
        <v>0</v>
      </c>
      <c r="CY53" s="428">
        <v>0</v>
      </c>
      <c r="CZ53" s="428">
        <v>0</v>
      </c>
      <c r="DA53" s="428">
        <v>0</v>
      </c>
      <c r="DB53" s="428">
        <v>0</v>
      </c>
      <c r="DC53" s="428">
        <v>0</v>
      </c>
      <c r="DD53" s="428">
        <v>0</v>
      </c>
      <c r="DE53" s="428">
        <v>0</v>
      </c>
      <c r="DF53" s="428">
        <v>0</v>
      </c>
      <c r="DG53" s="428">
        <v>0</v>
      </c>
      <c r="DH53" s="428">
        <v>0</v>
      </c>
      <c r="DI53" s="428">
        <v>0</v>
      </c>
      <c r="DJ53" s="428">
        <v>0</v>
      </c>
      <c r="DK53" s="428">
        <v>0</v>
      </c>
      <c r="DL53" s="428">
        <v>0</v>
      </c>
      <c r="DM53" s="428">
        <v>0</v>
      </c>
      <c r="DN53" s="428">
        <v>0</v>
      </c>
      <c r="DO53" s="428">
        <v>0</v>
      </c>
      <c r="DP53" s="428">
        <v>0</v>
      </c>
      <c r="DQ53" s="428">
        <v>0</v>
      </c>
      <c r="DR53" s="428">
        <v>0</v>
      </c>
      <c r="DS53" s="428">
        <v>0</v>
      </c>
      <c r="DT53" s="428">
        <v>0</v>
      </c>
      <c r="DU53" s="428">
        <v>0</v>
      </c>
      <c r="DV53" s="428">
        <v>0</v>
      </c>
      <c r="ED53" s="135"/>
      <c r="EE53" s="357" t="s">
        <v>645</v>
      </c>
      <c r="EF53" s="426" t="s">
        <v>777</v>
      </c>
      <c r="EG53" s="426">
        <v>2</v>
      </c>
      <c r="EH53" s="426">
        <v>25</v>
      </c>
      <c r="EI53" s="208" t="str">
        <f t="shared" si="2"/>
        <v>CLX200225</v>
      </c>
      <c r="EJ53" s="426">
        <v>280.89999999999998</v>
      </c>
      <c r="EK53" s="426">
        <v>561.79999999999995</v>
      </c>
      <c r="EL53" s="426">
        <v>842.7</v>
      </c>
      <c r="EM53" s="426">
        <v>1123.5999999999999</v>
      </c>
      <c r="EN53" s="426">
        <v>1404.5</v>
      </c>
      <c r="EO53" s="426">
        <v>1685.4</v>
      </c>
      <c r="EP53" s="426">
        <v>1966.3</v>
      </c>
      <c r="EQ53" s="426">
        <v>2247.1999999999998</v>
      </c>
      <c r="ER53" s="426">
        <v>2528.1</v>
      </c>
      <c r="ES53" s="426">
        <v>2809</v>
      </c>
      <c r="ET53" s="426">
        <v>3089.9</v>
      </c>
      <c r="EU53" s="426">
        <v>3370.8</v>
      </c>
      <c r="EV53" s="426">
        <v>3651.7</v>
      </c>
      <c r="EW53" s="426">
        <v>3932.6</v>
      </c>
      <c r="EX53" s="426">
        <v>4213.5</v>
      </c>
      <c r="EY53" s="426">
        <v>4494.3999999999996</v>
      </c>
      <c r="EZ53" s="426">
        <v>4775.3</v>
      </c>
      <c r="FA53" s="426">
        <v>5056.2</v>
      </c>
      <c r="FB53" s="426">
        <v>5337.1</v>
      </c>
      <c r="FC53" s="426">
        <v>5618</v>
      </c>
      <c r="FD53" s="426">
        <v>5618</v>
      </c>
      <c r="FE53" s="426">
        <v>5618</v>
      </c>
      <c r="FF53" s="426">
        <v>5618</v>
      </c>
      <c r="FG53" s="426">
        <v>5618</v>
      </c>
      <c r="FH53" s="426">
        <v>5618</v>
      </c>
      <c r="FI53" s="426">
        <v>5618</v>
      </c>
      <c r="FJ53" s="426">
        <v>5618</v>
      </c>
      <c r="FK53" s="426">
        <v>5618</v>
      </c>
      <c r="FL53" s="426">
        <v>5618</v>
      </c>
      <c r="FM53" s="426">
        <v>5618</v>
      </c>
      <c r="FN53" s="426">
        <v>5618</v>
      </c>
      <c r="FO53" s="426">
        <v>5618</v>
      </c>
      <c r="FP53" s="426">
        <v>5618</v>
      </c>
      <c r="FQ53" s="426">
        <v>5618</v>
      </c>
      <c r="FR53" s="426">
        <v>5618</v>
      </c>
      <c r="FS53" s="426">
        <v>5618</v>
      </c>
      <c r="FT53" s="426">
        <v>5618</v>
      </c>
      <c r="FU53" s="426">
        <v>5618</v>
      </c>
      <c r="FV53" s="426">
        <v>5618</v>
      </c>
      <c r="FW53" s="426">
        <v>5618</v>
      </c>
      <c r="FX53" s="426">
        <v>5618</v>
      </c>
      <c r="FY53" s="426">
        <v>5618</v>
      </c>
      <c r="FZ53" s="426">
        <v>5618</v>
      </c>
      <c r="GA53" s="426">
        <v>5618</v>
      </c>
      <c r="GB53" s="426">
        <v>5618</v>
      </c>
      <c r="GC53" s="426">
        <v>5618</v>
      </c>
      <c r="GD53" s="426">
        <v>5618</v>
      </c>
      <c r="GE53" s="426">
        <v>5618</v>
      </c>
      <c r="GF53" s="426">
        <v>5618</v>
      </c>
      <c r="GG53" s="426">
        <v>5618</v>
      </c>
      <c r="GH53" s="426">
        <v>5618</v>
      </c>
      <c r="GI53" s="426">
        <v>5618</v>
      </c>
      <c r="GJ53" s="426">
        <v>5618</v>
      </c>
      <c r="GK53" s="426">
        <v>5618</v>
      </c>
      <c r="GL53" s="426">
        <v>5618</v>
      </c>
      <c r="GM53" s="426">
        <v>5618</v>
      </c>
      <c r="GN53" s="426">
        <v>5618</v>
      </c>
      <c r="GO53" s="426">
        <v>5618</v>
      </c>
      <c r="GP53" s="426">
        <v>5618</v>
      </c>
      <c r="GQ53" s="426">
        <v>5618</v>
      </c>
      <c r="GR53" s="426">
        <v>5618</v>
      </c>
      <c r="GS53" s="426">
        <v>5618</v>
      </c>
      <c r="GT53" s="426">
        <v>5618</v>
      </c>
      <c r="GU53" s="426">
        <v>5618</v>
      </c>
      <c r="GV53" s="426">
        <v>5618</v>
      </c>
      <c r="GW53" s="426">
        <v>0</v>
      </c>
      <c r="GX53" s="426">
        <v>0</v>
      </c>
      <c r="GY53" s="426">
        <v>0</v>
      </c>
      <c r="GZ53" s="426">
        <v>0</v>
      </c>
      <c r="HA53" s="426">
        <v>0</v>
      </c>
      <c r="HB53" s="426">
        <v>0</v>
      </c>
      <c r="HC53" s="426">
        <v>0</v>
      </c>
      <c r="HD53" s="426">
        <v>0</v>
      </c>
      <c r="HE53" s="426">
        <v>0</v>
      </c>
      <c r="HF53" s="426">
        <v>0</v>
      </c>
      <c r="HG53" s="426">
        <v>0</v>
      </c>
      <c r="HH53" s="426">
        <v>0</v>
      </c>
      <c r="HI53" s="426">
        <v>0</v>
      </c>
      <c r="HJ53" s="426">
        <v>0</v>
      </c>
      <c r="HK53" s="426">
        <v>0</v>
      </c>
      <c r="HL53" s="426">
        <v>0</v>
      </c>
      <c r="HM53" s="426">
        <v>0</v>
      </c>
      <c r="HN53" s="426">
        <v>0</v>
      </c>
      <c r="HO53" s="426">
        <v>0</v>
      </c>
      <c r="HP53" s="426">
        <v>0</v>
      </c>
      <c r="HQ53" s="426">
        <v>0</v>
      </c>
      <c r="HR53" s="426">
        <v>0</v>
      </c>
      <c r="HS53" s="426">
        <v>0</v>
      </c>
      <c r="HT53" s="426">
        <v>0</v>
      </c>
      <c r="HU53" s="426">
        <v>0</v>
      </c>
      <c r="HV53" s="426">
        <v>0</v>
      </c>
      <c r="HW53" s="426">
        <v>0</v>
      </c>
      <c r="HX53" s="426">
        <v>0</v>
      </c>
      <c r="HY53" s="426">
        <v>0</v>
      </c>
      <c r="HZ53" s="426">
        <v>0</v>
      </c>
      <c r="IA53" s="426">
        <v>0</v>
      </c>
      <c r="IB53" s="426">
        <v>0</v>
      </c>
      <c r="IC53" s="426">
        <v>0</v>
      </c>
      <c r="ID53" s="426">
        <v>0</v>
      </c>
      <c r="IE53" s="426">
        <v>0</v>
      </c>
      <c r="IF53" s="426">
        <v>0</v>
      </c>
      <c r="IG53" s="426">
        <v>0</v>
      </c>
      <c r="IH53" s="426">
        <v>0</v>
      </c>
      <c r="II53" s="426">
        <v>0</v>
      </c>
      <c r="IJ53" s="426">
        <v>0</v>
      </c>
      <c r="IK53" s="426">
        <v>0</v>
      </c>
      <c r="IL53" s="426">
        <v>0</v>
      </c>
      <c r="IM53" s="426">
        <v>0</v>
      </c>
      <c r="IN53" s="426">
        <v>0</v>
      </c>
      <c r="IO53" s="426">
        <v>0</v>
      </c>
      <c r="IP53" s="426">
        <v>0</v>
      </c>
    </row>
    <row r="54" spans="1:250" ht="15">
      <c r="A54" s="357" t="s">
        <v>645</v>
      </c>
      <c r="B54" s="427" t="s">
        <v>777</v>
      </c>
      <c r="C54" s="427"/>
      <c r="D54" s="427"/>
      <c r="E54" s="427"/>
      <c r="F54" s="427">
        <v>2</v>
      </c>
      <c r="G54" s="427"/>
      <c r="H54" s="427">
        <v>26</v>
      </c>
      <c r="I54" s="427"/>
      <c r="J54" t="str">
        <f t="shared" si="0"/>
        <v>CLX200226</v>
      </c>
      <c r="K54" s="427">
        <v>270</v>
      </c>
      <c r="R54" s="357" t="s">
        <v>645</v>
      </c>
      <c r="S54" s="428" t="s">
        <v>777</v>
      </c>
      <c r="T54" s="428">
        <v>2</v>
      </c>
      <c r="U54" s="428">
        <v>26</v>
      </c>
      <c r="V54" s="208" t="str">
        <f t="shared" si="1"/>
        <v>CLX200226</v>
      </c>
      <c r="W54" s="428">
        <v>0</v>
      </c>
      <c r="X54" s="428">
        <v>0</v>
      </c>
      <c r="Y54" s="428">
        <v>0</v>
      </c>
      <c r="Z54" s="428">
        <v>0</v>
      </c>
      <c r="AA54" s="428">
        <v>0</v>
      </c>
      <c r="AB54" s="428">
        <v>0</v>
      </c>
      <c r="AC54" s="428">
        <v>0</v>
      </c>
      <c r="AD54" s="428">
        <v>0</v>
      </c>
      <c r="AE54" s="428">
        <v>0</v>
      </c>
      <c r="AF54" s="428">
        <v>0</v>
      </c>
      <c r="AG54" s="428">
        <v>0</v>
      </c>
      <c r="AH54" s="428">
        <v>0</v>
      </c>
      <c r="AI54" s="428">
        <v>0</v>
      </c>
      <c r="AJ54" s="428">
        <v>0</v>
      </c>
      <c r="AK54" s="428">
        <v>0</v>
      </c>
      <c r="AL54" s="428">
        <v>0</v>
      </c>
      <c r="AM54" s="428">
        <v>0</v>
      </c>
      <c r="AN54" s="428">
        <v>0</v>
      </c>
      <c r="AO54" s="428">
        <v>0</v>
      </c>
      <c r="AP54" s="428">
        <v>0</v>
      </c>
      <c r="AQ54" s="428">
        <v>0</v>
      </c>
      <c r="AR54" s="428">
        <v>0</v>
      </c>
      <c r="AS54" s="428">
        <v>0</v>
      </c>
      <c r="AT54" s="428">
        <v>0</v>
      </c>
      <c r="AU54" s="428">
        <v>0</v>
      </c>
      <c r="AV54" s="428">
        <v>0</v>
      </c>
      <c r="AW54" s="428">
        <v>0</v>
      </c>
      <c r="AX54" s="428">
        <v>0</v>
      </c>
      <c r="AY54" s="428">
        <v>0</v>
      </c>
      <c r="AZ54" s="428">
        <v>0</v>
      </c>
      <c r="BA54" s="428">
        <v>0</v>
      </c>
      <c r="BB54" s="428">
        <v>0</v>
      </c>
      <c r="BC54" s="428">
        <v>0</v>
      </c>
      <c r="BD54" s="428">
        <v>0</v>
      </c>
      <c r="BE54" s="428">
        <v>0</v>
      </c>
      <c r="BF54" s="428">
        <v>0</v>
      </c>
      <c r="BG54" s="428">
        <v>0</v>
      </c>
      <c r="BH54" s="428">
        <v>0</v>
      </c>
      <c r="BI54" s="428">
        <v>0</v>
      </c>
      <c r="BJ54" s="428">
        <v>0</v>
      </c>
      <c r="BK54" s="428">
        <v>0</v>
      </c>
      <c r="BL54" s="428">
        <v>0</v>
      </c>
      <c r="BM54" s="428">
        <v>0</v>
      </c>
      <c r="BN54" s="428">
        <v>0</v>
      </c>
      <c r="BO54" s="428">
        <v>0</v>
      </c>
      <c r="BP54" s="428">
        <v>0</v>
      </c>
      <c r="BQ54" s="428">
        <v>0</v>
      </c>
      <c r="BR54" s="428">
        <v>0</v>
      </c>
      <c r="BS54" s="428">
        <v>0</v>
      </c>
      <c r="BT54" s="428">
        <v>0</v>
      </c>
      <c r="BU54" s="428">
        <v>0</v>
      </c>
      <c r="BV54" s="428">
        <v>0</v>
      </c>
      <c r="BW54" s="428">
        <v>0</v>
      </c>
      <c r="BX54" s="428">
        <v>0</v>
      </c>
      <c r="BY54" s="428">
        <v>0</v>
      </c>
      <c r="BZ54" s="428">
        <v>0</v>
      </c>
      <c r="CA54" s="428">
        <v>0</v>
      </c>
      <c r="CB54" s="428">
        <v>0</v>
      </c>
      <c r="CC54" s="428">
        <v>0</v>
      </c>
      <c r="CD54" s="428">
        <v>0</v>
      </c>
      <c r="CE54" s="428">
        <v>0</v>
      </c>
      <c r="CF54" s="428">
        <v>0</v>
      </c>
      <c r="CG54" s="428">
        <v>0</v>
      </c>
      <c r="CH54" s="428">
        <v>5724</v>
      </c>
      <c r="CI54" s="428">
        <v>0</v>
      </c>
      <c r="CJ54" s="428">
        <v>0</v>
      </c>
      <c r="CK54" s="428">
        <v>0</v>
      </c>
      <c r="CL54" s="428">
        <v>0</v>
      </c>
      <c r="CM54" s="428">
        <v>0</v>
      </c>
      <c r="CN54" s="428">
        <v>0</v>
      </c>
      <c r="CO54" s="428">
        <v>0</v>
      </c>
      <c r="CP54" s="428">
        <v>0</v>
      </c>
      <c r="CQ54" s="428">
        <v>0</v>
      </c>
      <c r="CR54" s="428">
        <v>0</v>
      </c>
      <c r="CS54" s="428">
        <v>0</v>
      </c>
      <c r="CT54" s="428">
        <v>0</v>
      </c>
      <c r="CU54" s="428">
        <v>0</v>
      </c>
      <c r="CV54" s="428">
        <v>0</v>
      </c>
      <c r="CW54" s="428">
        <v>0</v>
      </c>
      <c r="CX54" s="428">
        <v>0</v>
      </c>
      <c r="CY54" s="428">
        <v>0</v>
      </c>
      <c r="CZ54" s="428">
        <v>0</v>
      </c>
      <c r="DA54" s="428">
        <v>0</v>
      </c>
      <c r="DB54" s="428">
        <v>0</v>
      </c>
      <c r="DC54" s="428">
        <v>0</v>
      </c>
      <c r="DD54" s="428">
        <v>0</v>
      </c>
      <c r="DE54" s="428">
        <v>0</v>
      </c>
      <c r="DF54" s="428">
        <v>0</v>
      </c>
      <c r="DG54" s="428">
        <v>0</v>
      </c>
      <c r="DH54" s="428">
        <v>0</v>
      </c>
      <c r="DI54" s="428">
        <v>0</v>
      </c>
      <c r="DJ54" s="428">
        <v>0</v>
      </c>
      <c r="DK54" s="428">
        <v>0</v>
      </c>
      <c r="DL54" s="428">
        <v>0</v>
      </c>
      <c r="DM54" s="428">
        <v>0</v>
      </c>
      <c r="DN54" s="428">
        <v>0</v>
      </c>
      <c r="DO54" s="428">
        <v>0</v>
      </c>
      <c r="DP54" s="428">
        <v>0</v>
      </c>
      <c r="DQ54" s="428">
        <v>0</v>
      </c>
      <c r="DR54" s="428">
        <v>0</v>
      </c>
      <c r="DS54" s="428">
        <v>0</v>
      </c>
      <c r="DT54" s="428">
        <v>0</v>
      </c>
      <c r="DU54" s="428">
        <v>0</v>
      </c>
      <c r="DV54" s="428">
        <v>0</v>
      </c>
      <c r="ED54" s="135"/>
      <c r="EE54" s="357" t="s">
        <v>645</v>
      </c>
      <c r="EF54" s="426" t="s">
        <v>777</v>
      </c>
      <c r="EG54" s="426">
        <v>2</v>
      </c>
      <c r="EH54" s="426">
        <v>26</v>
      </c>
      <c r="EI54" s="208" t="str">
        <f t="shared" si="2"/>
        <v>CLX200226</v>
      </c>
      <c r="EJ54" s="426">
        <v>286.2</v>
      </c>
      <c r="EK54" s="426">
        <v>572.4</v>
      </c>
      <c r="EL54" s="426">
        <v>858.6</v>
      </c>
      <c r="EM54" s="426">
        <v>1144.8</v>
      </c>
      <c r="EN54" s="426">
        <v>1431</v>
      </c>
      <c r="EO54" s="426">
        <v>1717.2</v>
      </c>
      <c r="EP54" s="426">
        <v>2003.4</v>
      </c>
      <c r="EQ54" s="426">
        <v>2289.6</v>
      </c>
      <c r="ER54" s="426">
        <v>2575.8000000000002</v>
      </c>
      <c r="ES54" s="426">
        <v>2862</v>
      </c>
      <c r="ET54" s="426">
        <v>3148.2</v>
      </c>
      <c r="EU54" s="426">
        <v>3434.4</v>
      </c>
      <c r="EV54" s="426">
        <v>3720.6</v>
      </c>
      <c r="EW54" s="426">
        <v>4006.8</v>
      </c>
      <c r="EX54" s="426">
        <v>4293</v>
      </c>
      <c r="EY54" s="426">
        <v>4579.2</v>
      </c>
      <c r="EZ54" s="426">
        <v>4865.3999999999996</v>
      </c>
      <c r="FA54" s="426">
        <v>5151.6000000000004</v>
      </c>
      <c r="FB54" s="426">
        <v>5437.8</v>
      </c>
      <c r="FC54" s="426">
        <v>5724</v>
      </c>
      <c r="FD54" s="426">
        <v>5724</v>
      </c>
      <c r="FE54" s="426">
        <v>5724</v>
      </c>
      <c r="FF54" s="426">
        <v>5724</v>
      </c>
      <c r="FG54" s="426">
        <v>5724</v>
      </c>
      <c r="FH54" s="426">
        <v>5724</v>
      </c>
      <c r="FI54" s="426">
        <v>5724</v>
      </c>
      <c r="FJ54" s="426">
        <v>5724</v>
      </c>
      <c r="FK54" s="426">
        <v>5724</v>
      </c>
      <c r="FL54" s="426">
        <v>5724</v>
      </c>
      <c r="FM54" s="426">
        <v>5724</v>
      </c>
      <c r="FN54" s="426">
        <v>5724</v>
      </c>
      <c r="FO54" s="426">
        <v>5724</v>
      </c>
      <c r="FP54" s="426">
        <v>5724</v>
      </c>
      <c r="FQ54" s="426">
        <v>5724</v>
      </c>
      <c r="FR54" s="426">
        <v>5724</v>
      </c>
      <c r="FS54" s="426">
        <v>5724</v>
      </c>
      <c r="FT54" s="426">
        <v>5724</v>
      </c>
      <c r="FU54" s="426">
        <v>5724</v>
      </c>
      <c r="FV54" s="426">
        <v>5724</v>
      </c>
      <c r="FW54" s="426">
        <v>5724</v>
      </c>
      <c r="FX54" s="426">
        <v>5724</v>
      </c>
      <c r="FY54" s="426">
        <v>5724</v>
      </c>
      <c r="FZ54" s="426">
        <v>5724</v>
      </c>
      <c r="GA54" s="426">
        <v>5724</v>
      </c>
      <c r="GB54" s="426">
        <v>5724</v>
      </c>
      <c r="GC54" s="426">
        <v>5724</v>
      </c>
      <c r="GD54" s="426">
        <v>5724</v>
      </c>
      <c r="GE54" s="426">
        <v>5724</v>
      </c>
      <c r="GF54" s="426">
        <v>5724</v>
      </c>
      <c r="GG54" s="426">
        <v>5724</v>
      </c>
      <c r="GH54" s="426">
        <v>5724</v>
      </c>
      <c r="GI54" s="426">
        <v>5724</v>
      </c>
      <c r="GJ54" s="426">
        <v>5724</v>
      </c>
      <c r="GK54" s="426">
        <v>5724</v>
      </c>
      <c r="GL54" s="426">
        <v>5724</v>
      </c>
      <c r="GM54" s="426">
        <v>5724</v>
      </c>
      <c r="GN54" s="426">
        <v>5724</v>
      </c>
      <c r="GO54" s="426">
        <v>5724</v>
      </c>
      <c r="GP54" s="426">
        <v>5724</v>
      </c>
      <c r="GQ54" s="426">
        <v>5724</v>
      </c>
      <c r="GR54" s="426">
        <v>5724</v>
      </c>
      <c r="GS54" s="426">
        <v>5724</v>
      </c>
      <c r="GT54" s="426">
        <v>5724</v>
      </c>
      <c r="GU54" s="426">
        <v>5724</v>
      </c>
      <c r="GV54" s="426">
        <v>0</v>
      </c>
      <c r="GW54" s="426">
        <v>0</v>
      </c>
      <c r="GX54" s="426">
        <v>0</v>
      </c>
      <c r="GY54" s="426">
        <v>0</v>
      </c>
      <c r="GZ54" s="426">
        <v>0</v>
      </c>
      <c r="HA54" s="426">
        <v>0</v>
      </c>
      <c r="HB54" s="426">
        <v>0</v>
      </c>
      <c r="HC54" s="426">
        <v>0</v>
      </c>
      <c r="HD54" s="426">
        <v>0</v>
      </c>
      <c r="HE54" s="426">
        <v>0</v>
      </c>
      <c r="HF54" s="426">
        <v>0</v>
      </c>
      <c r="HG54" s="426">
        <v>0</v>
      </c>
      <c r="HH54" s="426">
        <v>0</v>
      </c>
      <c r="HI54" s="426">
        <v>0</v>
      </c>
      <c r="HJ54" s="426">
        <v>0</v>
      </c>
      <c r="HK54" s="426">
        <v>0</v>
      </c>
      <c r="HL54" s="426">
        <v>0</v>
      </c>
      <c r="HM54" s="426">
        <v>0</v>
      </c>
      <c r="HN54" s="426">
        <v>0</v>
      </c>
      <c r="HO54" s="426">
        <v>0</v>
      </c>
      <c r="HP54" s="426">
        <v>0</v>
      </c>
      <c r="HQ54" s="426">
        <v>0</v>
      </c>
      <c r="HR54" s="426">
        <v>0</v>
      </c>
      <c r="HS54" s="426">
        <v>0</v>
      </c>
      <c r="HT54" s="426">
        <v>0</v>
      </c>
      <c r="HU54" s="426">
        <v>0</v>
      </c>
      <c r="HV54" s="426">
        <v>0</v>
      </c>
      <c r="HW54" s="426">
        <v>0</v>
      </c>
      <c r="HX54" s="426">
        <v>0</v>
      </c>
      <c r="HY54" s="426">
        <v>0</v>
      </c>
      <c r="HZ54" s="426">
        <v>0</v>
      </c>
      <c r="IA54" s="426">
        <v>0</v>
      </c>
      <c r="IB54" s="426">
        <v>0</v>
      </c>
      <c r="IC54" s="426">
        <v>0</v>
      </c>
      <c r="ID54" s="426">
        <v>0</v>
      </c>
      <c r="IE54" s="426">
        <v>0</v>
      </c>
      <c r="IF54" s="426">
        <v>0</v>
      </c>
      <c r="IG54" s="426">
        <v>0</v>
      </c>
      <c r="IH54" s="426">
        <v>0</v>
      </c>
      <c r="II54" s="426">
        <v>0</v>
      </c>
      <c r="IJ54" s="426">
        <v>0</v>
      </c>
      <c r="IK54" s="426">
        <v>0</v>
      </c>
      <c r="IL54" s="426">
        <v>0</v>
      </c>
      <c r="IM54" s="426">
        <v>0</v>
      </c>
      <c r="IN54" s="426">
        <v>0</v>
      </c>
      <c r="IO54" s="426">
        <v>0</v>
      </c>
      <c r="IP54" s="426">
        <v>0</v>
      </c>
    </row>
    <row r="55" spans="1:250" ht="15">
      <c r="A55" s="357" t="s">
        <v>645</v>
      </c>
      <c r="B55" s="427" t="s">
        <v>777</v>
      </c>
      <c r="C55" s="427"/>
      <c r="D55" s="427"/>
      <c r="E55" s="427"/>
      <c r="F55" s="427">
        <v>2</v>
      </c>
      <c r="G55" s="427"/>
      <c r="H55" s="427">
        <v>27</v>
      </c>
      <c r="I55" s="427"/>
      <c r="J55" t="str">
        <f t="shared" si="0"/>
        <v>CLX200227</v>
      </c>
      <c r="K55" s="427">
        <v>275</v>
      </c>
      <c r="R55" s="357" t="s">
        <v>645</v>
      </c>
      <c r="S55" s="428" t="s">
        <v>777</v>
      </c>
      <c r="T55" s="428">
        <v>2</v>
      </c>
      <c r="U55" s="428">
        <v>27</v>
      </c>
      <c r="V55" s="208" t="str">
        <f t="shared" si="1"/>
        <v>CLX200227</v>
      </c>
      <c r="W55" s="428">
        <v>0</v>
      </c>
      <c r="X55" s="428">
        <v>0</v>
      </c>
      <c r="Y55" s="428">
        <v>0</v>
      </c>
      <c r="Z55" s="428">
        <v>0</v>
      </c>
      <c r="AA55" s="428">
        <v>0</v>
      </c>
      <c r="AB55" s="428">
        <v>0</v>
      </c>
      <c r="AC55" s="428">
        <v>0</v>
      </c>
      <c r="AD55" s="428">
        <v>0</v>
      </c>
      <c r="AE55" s="428">
        <v>0</v>
      </c>
      <c r="AF55" s="428">
        <v>0</v>
      </c>
      <c r="AG55" s="428">
        <v>0</v>
      </c>
      <c r="AH55" s="428">
        <v>0</v>
      </c>
      <c r="AI55" s="428">
        <v>0</v>
      </c>
      <c r="AJ55" s="428">
        <v>0</v>
      </c>
      <c r="AK55" s="428">
        <v>0</v>
      </c>
      <c r="AL55" s="428">
        <v>0</v>
      </c>
      <c r="AM55" s="428">
        <v>0</v>
      </c>
      <c r="AN55" s="428">
        <v>0</v>
      </c>
      <c r="AO55" s="428">
        <v>0</v>
      </c>
      <c r="AP55" s="428">
        <v>0</v>
      </c>
      <c r="AQ55" s="428">
        <v>0</v>
      </c>
      <c r="AR55" s="428">
        <v>0</v>
      </c>
      <c r="AS55" s="428">
        <v>0</v>
      </c>
      <c r="AT55" s="428">
        <v>0</v>
      </c>
      <c r="AU55" s="428">
        <v>0</v>
      </c>
      <c r="AV55" s="428">
        <v>0</v>
      </c>
      <c r="AW55" s="428">
        <v>0</v>
      </c>
      <c r="AX55" s="428">
        <v>0</v>
      </c>
      <c r="AY55" s="428">
        <v>0</v>
      </c>
      <c r="AZ55" s="428">
        <v>0</v>
      </c>
      <c r="BA55" s="428">
        <v>0</v>
      </c>
      <c r="BB55" s="428">
        <v>0</v>
      </c>
      <c r="BC55" s="428">
        <v>0</v>
      </c>
      <c r="BD55" s="428">
        <v>0</v>
      </c>
      <c r="BE55" s="428">
        <v>0</v>
      </c>
      <c r="BF55" s="428">
        <v>0</v>
      </c>
      <c r="BG55" s="428">
        <v>0</v>
      </c>
      <c r="BH55" s="428">
        <v>0</v>
      </c>
      <c r="BI55" s="428">
        <v>0</v>
      </c>
      <c r="BJ55" s="428">
        <v>0</v>
      </c>
      <c r="BK55" s="428">
        <v>0</v>
      </c>
      <c r="BL55" s="428">
        <v>0</v>
      </c>
      <c r="BM55" s="428">
        <v>0</v>
      </c>
      <c r="BN55" s="428">
        <v>0</v>
      </c>
      <c r="BO55" s="428">
        <v>0</v>
      </c>
      <c r="BP55" s="428">
        <v>0</v>
      </c>
      <c r="BQ55" s="428">
        <v>0</v>
      </c>
      <c r="BR55" s="428">
        <v>0</v>
      </c>
      <c r="BS55" s="428">
        <v>0</v>
      </c>
      <c r="BT55" s="428">
        <v>0</v>
      </c>
      <c r="BU55" s="428">
        <v>0</v>
      </c>
      <c r="BV55" s="428">
        <v>0</v>
      </c>
      <c r="BW55" s="428">
        <v>0</v>
      </c>
      <c r="BX55" s="428">
        <v>0</v>
      </c>
      <c r="BY55" s="428">
        <v>0</v>
      </c>
      <c r="BZ55" s="428">
        <v>0</v>
      </c>
      <c r="CA55" s="428">
        <v>0</v>
      </c>
      <c r="CB55" s="428">
        <v>0</v>
      </c>
      <c r="CC55" s="428">
        <v>0</v>
      </c>
      <c r="CD55" s="428">
        <v>0</v>
      </c>
      <c r="CE55" s="428">
        <v>0</v>
      </c>
      <c r="CF55" s="428">
        <v>0</v>
      </c>
      <c r="CG55" s="428">
        <v>5830</v>
      </c>
      <c r="CH55" s="428">
        <v>0</v>
      </c>
      <c r="CI55" s="428">
        <v>0</v>
      </c>
      <c r="CJ55" s="428">
        <v>0</v>
      </c>
      <c r="CK55" s="428">
        <v>0</v>
      </c>
      <c r="CL55" s="428">
        <v>0</v>
      </c>
      <c r="CM55" s="428">
        <v>0</v>
      </c>
      <c r="CN55" s="428">
        <v>0</v>
      </c>
      <c r="CO55" s="428">
        <v>0</v>
      </c>
      <c r="CP55" s="428">
        <v>0</v>
      </c>
      <c r="CQ55" s="428">
        <v>0</v>
      </c>
      <c r="CR55" s="428">
        <v>0</v>
      </c>
      <c r="CS55" s="428">
        <v>0</v>
      </c>
      <c r="CT55" s="428">
        <v>0</v>
      </c>
      <c r="CU55" s="428">
        <v>0</v>
      </c>
      <c r="CV55" s="428">
        <v>0</v>
      </c>
      <c r="CW55" s="428">
        <v>0</v>
      </c>
      <c r="CX55" s="428">
        <v>0</v>
      </c>
      <c r="CY55" s="428">
        <v>0</v>
      </c>
      <c r="CZ55" s="428">
        <v>0</v>
      </c>
      <c r="DA55" s="428">
        <v>0</v>
      </c>
      <c r="DB55" s="428">
        <v>0</v>
      </c>
      <c r="DC55" s="428">
        <v>0</v>
      </c>
      <c r="DD55" s="428">
        <v>0</v>
      </c>
      <c r="DE55" s="428">
        <v>0</v>
      </c>
      <c r="DF55" s="428">
        <v>0</v>
      </c>
      <c r="DG55" s="428">
        <v>0</v>
      </c>
      <c r="DH55" s="428">
        <v>0</v>
      </c>
      <c r="DI55" s="428">
        <v>0</v>
      </c>
      <c r="DJ55" s="428">
        <v>0</v>
      </c>
      <c r="DK55" s="428">
        <v>0</v>
      </c>
      <c r="DL55" s="428">
        <v>0</v>
      </c>
      <c r="DM55" s="428">
        <v>0</v>
      </c>
      <c r="DN55" s="428">
        <v>0</v>
      </c>
      <c r="DO55" s="428">
        <v>0</v>
      </c>
      <c r="DP55" s="428">
        <v>0</v>
      </c>
      <c r="DQ55" s="428">
        <v>0</v>
      </c>
      <c r="DR55" s="428">
        <v>0</v>
      </c>
      <c r="DS55" s="428">
        <v>0</v>
      </c>
      <c r="DT55" s="428">
        <v>0</v>
      </c>
      <c r="DU55" s="428">
        <v>0</v>
      </c>
      <c r="DV55" s="428">
        <v>0</v>
      </c>
      <c r="ED55" s="135"/>
      <c r="EE55" s="357" t="s">
        <v>645</v>
      </c>
      <c r="EF55" s="426" t="s">
        <v>777</v>
      </c>
      <c r="EG55" s="426">
        <v>2</v>
      </c>
      <c r="EH55" s="426">
        <v>27</v>
      </c>
      <c r="EI55" s="208" t="str">
        <f t="shared" si="2"/>
        <v>CLX200227</v>
      </c>
      <c r="EJ55" s="426">
        <v>291.5</v>
      </c>
      <c r="EK55" s="426">
        <v>583</v>
      </c>
      <c r="EL55" s="426">
        <v>874.5</v>
      </c>
      <c r="EM55" s="426">
        <v>1166</v>
      </c>
      <c r="EN55" s="426">
        <v>1457.5</v>
      </c>
      <c r="EO55" s="426">
        <v>1749</v>
      </c>
      <c r="EP55" s="426">
        <v>2040.5</v>
      </c>
      <c r="EQ55" s="426">
        <v>2332</v>
      </c>
      <c r="ER55" s="426">
        <v>2623.5</v>
      </c>
      <c r="ES55" s="426">
        <v>2915</v>
      </c>
      <c r="ET55" s="426">
        <v>3206.5</v>
      </c>
      <c r="EU55" s="426">
        <v>3498</v>
      </c>
      <c r="EV55" s="426">
        <v>3789.5</v>
      </c>
      <c r="EW55" s="426">
        <v>4081</v>
      </c>
      <c r="EX55" s="426">
        <v>4372.5</v>
      </c>
      <c r="EY55" s="426">
        <v>4664</v>
      </c>
      <c r="EZ55" s="426">
        <v>4955.5</v>
      </c>
      <c r="FA55" s="426">
        <v>5247</v>
      </c>
      <c r="FB55" s="426">
        <v>5538.5</v>
      </c>
      <c r="FC55" s="426">
        <v>5830</v>
      </c>
      <c r="FD55" s="426">
        <v>5830</v>
      </c>
      <c r="FE55" s="426">
        <v>5830</v>
      </c>
      <c r="FF55" s="426">
        <v>5830</v>
      </c>
      <c r="FG55" s="426">
        <v>5830</v>
      </c>
      <c r="FH55" s="426">
        <v>5830</v>
      </c>
      <c r="FI55" s="426">
        <v>5830</v>
      </c>
      <c r="FJ55" s="426">
        <v>5830</v>
      </c>
      <c r="FK55" s="426">
        <v>5830</v>
      </c>
      <c r="FL55" s="426">
        <v>5830</v>
      </c>
      <c r="FM55" s="426">
        <v>5830</v>
      </c>
      <c r="FN55" s="426">
        <v>5830</v>
      </c>
      <c r="FO55" s="426">
        <v>5830</v>
      </c>
      <c r="FP55" s="426">
        <v>5830</v>
      </c>
      <c r="FQ55" s="426">
        <v>5830</v>
      </c>
      <c r="FR55" s="426">
        <v>5830</v>
      </c>
      <c r="FS55" s="426">
        <v>5830</v>
      </c>
      <c r="FT55" s="426">
        <v>5830</v>
      </c>
      <c r="FU55" s="426">
        <v>5830</v>
      </c>
      <c r="FV55" s="426">
        <v>5830</v>
      </c>
      <c r="FW55" s="426">
        <v>5830</v>
      </c>
      <c r="FX55" s="426">
        <v>5830</v>
      </c>
      <c r="FY55" s="426">
        <v>5830</v>
      </c>
      <c r="FZ55" s="426">
        <v>5830</v>
      </c>
      <c r="GA55" s="426">
        <v>5830</v>
      </c>
      <c r="GB55" s="426">
        <v>5830</v>
      </c>
      <c r="GC55" s="426">
        <v>5830</v>
      </c>
      <c r="GD55" s="426">
        <v>5830</v>
      </c>
      <c r="GE55" s="426">
        <v>5830</v>
      </c>
      <c r="GF55" s="426">
        <v>5830</v>
      </c>
      <c r="GG55" s="426">
        <v>5830</v>
      </c>
      <c r="GH55" s="426">
        <v>5830</v>
      </c>
      <c r="GI55" s="426">
        <v>5830</v>
      </c>
      <c r="GJ55" s="426">
        <v>5830</v>
      </c>
      <c r="GK55" s="426">
        <v>5830</v>
      </c>
      <c r="GL55" s="426">
        <v>5830</v>
      </c>
      <c r="GM55" s="426">
        <v>5830</v>
      </c>
      <c r="GN55" s="426">
        <v>5830</v>
      </c>
      <c r="GO55" s="426">
        <v>5830</v>
      </c>
      <c r="GP55" s="426">
        <v>5830</v>
      </c>
      <c r="GQ55" s="426">
        <v>5830</v>
      </c>
      <c r="GR55" s="426">
        <v>5830</v>
      </c>
      <c r="GS55" s="426">
        <v>5830</v>
      </c>
      <c r="GT55" s="426">
        <v>5830</v>
      </c>
      <c r="GU55" s="426">
        <v>0</v>
      </c>
      <c r="GV55" s="426">
        <v>0</v>
      </c>
      <c r="GW55" s="426">
        <v>0</v>
      </c>
      <c r="GX55" s="426">
        <v>0</v>
      </c>
      <c r="GY55" s="426">
        <v>0</v>
      </c>
      <c r="GZ55" s="426">
        <v>0</v>
      </c>
      <c r="HA55" s="426">
        <v>0</v>
      </c>
      <c r="HB55" s="426">
        <v>0</v>
      </c>
      <c r="HC55" s="426">
        <v>0</v>
      </c>
      <c r="HD55" s="426">
        <v>0</v>
      </c>
      <c r="HE55" s="426">
        <v>0</v>
      </c>
      <c r="HF55" s="426">
        <v>0</v>
      </c>
      <c r="HG55" s="426">
        <v>0</v>
      </c>
      <c r="HH55" s="426">
        <v>0</v>
      </c>
      <c r="HI55" s="426">
        <v>0</v>
      </c>
      <c r="HJ55" s="426">
        <v>0</v>
      </c>
      <c r="HK55" s="426">
        <v>0</v>
      </c>
      <c r="HL55" s="426">
        <v>0</v>
      </c>
      <c r="HM55" s="426">
        <v>0</v>
      </c>
      <c r="HN55" s="426">
        <v>0</v>
      </c>
      <c r="HO55" s="426">
        <v>0</v>
      </c>
      <c r="HP55" s="426">
        <v>0</v>
      </c>
      <c r="HQ55" s="426">
        <v>0</v>
      </c>
      <c r="HR55" s="426">
        <v>0</v>
      </c>
      <c r="HS55" s="426">
        <v>0</v>
      </c>
      <c r="HT55" s="426">
        <v>0</v>
      </c>
      <c r="HU55" s="426">
        <v>0</v>
      </c>
      <c r="HV55" s="426">
        <v>0</v>
      </c>
      <c r="HW55" s="426">
        <v>0</v>
      </c>
      <c r="HX55" s="426">
        <v>0</v>
      </c>
      <c r="HY55" s="426">
        <v>0</v>
      </c>
      <c r="HZ55" s="426">
        <v>0</v>
      </c>
      <c r="IA55" s="426">
        <v>0</v>
      </c>
      <c r="IB55" s="426">
        <v>0</v>
      </c>
      <c r="IC55" s="426">
        <v>0</v>
      </c>
      <c r="ID55" s="426">
        <v>0</v>
      </c>
      <c r="IE55" s="426">
        <v>0</v>
      </c>
      <c r="IF55" s="426">
        <v>0</v>
      </c>
      <c r="IG55" s="426">
        <v>0</v>
      </c>
      <c r="IH55" s="426">
        <v>0</v>
      </c>
      <c r="II55" s="426">
        <v>0</v>
      </c>
      <c r="IJ55" s="426">
        <v>0</v>
      </c>
      <c r="IK55" s="426">
        <v>0</v>
      </c>
      <c r="IL55" s="426">
        <v>0</v>
      </c>
      <c r="IM55" s="426">
        <v>0</v>
      </c>
      <c r="IN55" s="426">
        <v>0</v>
      </c>
      <c r="IO55" s="426">
        <v>0</v>
      </c>
      <c r="IP55" s="426">
        <v>0</v>
      </c>
    </row>
    <row r="56" spans="1:250" ht="15">
      <c r="A56" s="357" t="s">
        <v>645</v>
      </c>
      <c r="B56" s="427" t="s">
        <v>777</v>
      </c>
      <c r="C56" s="427"/>
      <c r="D56" s="427"/>
      <c r="E56" s="427"/>
      <c r="F56" s="427">
        <v>2</v>
      </c>
      <c r="G56" s="427"/>
      <c r="H56" s="427">
        <v>28</v>
      </c>
      <c r="I56" s="427"/>
      <c r="J56" t="str">
        <f t="shared" si="0"/>
        <v>CLX200228</v>
      </c>
      <c r="K56" s="427">
        <v>280</v>
      </c>
      <c r="R56" s="357" t="s">
        <v>645</v>
      </c>
      <c r="S56" s="428" t="s">
        <v>777</v>
      </c>
      <c r="T56" s="428">
        <v>2</v>
      </c>
      <c r="U56" s="428">
        <v>28</v>
      </c>
      <c r="V56" s="208" t="str">
        <f t="shared" si="1"/>
        <v>CLX200228</v>
      </c>
      <c r="W56" s="428">
        <v>0</v>
      </c>
      <c r="X56" s="428">
        <v>0</v>
      </c>
      <c r="Y56" s="428">
        <v>0</v>
      </c>
      <c r="Z56" s="428">
        <v>0</v>
      </c>
      <c r="AA56" s="428">
        <v>0</v>
      </c>
      <c r="AB56" s="428">
        <v>0</v>
      </c>
      <c r="AC56" s="428">
        <v>0</v>
      </c>
      <c r="AD56" s="428">
        <v>0</v>
      </c>
      <c r="AE56" s="428">
        <v>0</v>
      </c>
      <c r="AF56" s="428">
        <v>0</v>
      </c>
      <c r="AG56" s="428">
        <v>0</v>
      </c>
      <c r="AH56" s="428">
        <v>0</v>
      </c>
      <c r="AI56" s="428">
        <v>0</v>
      </c>
      <c r="AJ56" s="428">
        <v>0</v>
      </c>
      <c r="AK56" s="428">
        <v>0</v>
      </c>
      <c r="AL56" s="428">
        <v>0</v>
      </c>
      <c r="AM56" s="428">
        <v>0</v>
      </c>
      <c r="AN56" s="428">
        <v>0</v>
      </c>
      <c r="AO56" s="428">
        <v>0</v>
      </c>
      <c r="AP56" s="428">
        <v>0</v>
      </c>
      <c r="AQ56" s="428">
        <v>0</v>
      </c>
      <c r="AR56" s="428">
        <v>0</v>
      </c>
      <c r="AS56" s="428">
        <v>0</v>
      </c>
      <c r="AT56" s="428">
        <v>0</v>
      </c>
      <c r="AU56" s="428">
        <v>0</v>
      </c>
      <c r="AV56" s="428">
        <v>0</v>
      </c>
      <c r="AW56" s="428">
        <v>0</v>
      </c>
      <c r="AX56" s="428">
        <v>0</v>
      </c>
      <c r="AY56" s="428">
        <v>0</v>
      </c>
      <c r="AZ56" s="428">
        <v>0</v>
      </c>
      <c r="BA56" s="428">
        <v>0</v>
      </c>
      <c r="BB56" s="428">
        <v>0</v>
      </c>
      <c r="BC56" s="428">
        <v>0</v>
      </c>
      <c r="BD56" s="428">
        <v>0</v>
      </c>
      <c r="BE56" s="428">
        <v>0</v>
      </c>
      <c r="BF56" s="428">
        <v>0</v>
      </c>
      <c r="BG56" s="428">
        <v>0</v>
      </c>
      <c r="BH56" s="428">
        <v>0</v>
      </c>
      <c r="BI56" s="428">
        <v>0</v>
      </c>
      <c r="BJ56" s="428">
        <v>0</v>
      </c>
      <c r="BK56" s="428">
        <v>0</v>
      </c>
      <c r="BL56" s="428">
        <v>0</v>
      </c>
      <c r="BM56" s="428">
        <v>0</v>
      </c>
      <c r="BN56" s="428">
        <v>0</v>
      </c>
      <c r="BO56" s="428">
        <v>0</v>
      </c>
      <c r="BP56" s="428">
        <v>0</v>
      </c>
      <c r="BQ56" s="428">
        <v>0</v>
      </c>
      <c r="BR56" s="428">
        <v>0</v>
      </c>
      <c r="BS56" s="428">
        <v>0</v>
      </c>
      <c r="BT56" s="428">
        <v>0</v>
      </c>
      <c r="BU56" s="428">
        <v>0</v>
      </c>
      <c r="BV56" s="428">
        <v>0</v>
      </c>
      <c r="BW56" s="428">
        <v>0</v>
      </c>
      <c r="BX56" s="428">
        <v>0</v>
      </c>
      <c r="BY56" s="428">
        <v>0</v>
      </c>
      <c r="BZ56" s="428">
        <v>0</v>
      </c>
      <c r="CA56" s="428">
        <v>0</v>
      </c>
      <c r="CB56" s="428">
        <v>0</v>
      </c>
      <c r="CC56" s="428">
        <v>0</v>
      </c>
      <c r="CD56" s="428">
        <v>0</v>
      </c>
      <c r="CE56" s="428">
        <v>0</v>
      </c>
      <c r="CF56" s="428">
        <v>5936</v>
      </c>
      <c r="CG56" s="428">
        <v>0</v>
      </c>
      <c r="CH56" s="428">
        <v>0</v>
      </c>
      <c r="CI56" s="428">
        <v>0</v>
      </c>
      <c r="CJ56" s="428">
        <v>0</v>
      </c>
      <c r="CK56" s="428">
        <v>0</v>
      </c>
      <c r="CL56" s="428">
        <v>0</v>
      </c>
      <c r="CM56" s="428">
        <v>0</v>
      </c>
      <c r="CN56" s="428">
        <v>0</v>
      </c>
      <c r="CO56" s="428">
        <v>0</v>
      </c>
      <c r="CP56" s="428">
        <v>0</v>
      </c>
      <c r="CQ56" s="428">
        <v>0</v>
      </c>
      <c r="CR56" s="428">
        <v>0</v>
      </c>
      <c r="CS56" s="428">
        <v>0</v>
      </c>
      <c r="CT56" s="428">
        <v>0</v>
      </c>
      <c r="CU56" s="428">
        <v>0</v>
      </c>
      <c r="CV56" s="428">
        <v>0</v>
      </c>
      <c r="CW56" s="428">
        <v>0</v>
      </c>
      <c r="CX56" s="428">
        <v>0</v>
      </c>
      <c r="CY56" s="428">
        <v>0</v>
      </c>
      <c r="CZ56" s="428">
        <v>0</v>
      </c>
      <c r="DA56" s="428">
        <v>0</v>
      </c>
      <c r="DB56" s="428">
        <v>0</v>
      </c>
      <c r="DC56" s="428">
        <v>0</v>
      </c>
      <c r="DD56" s="428">
        <v>0</v>
      </c>
      <c r="DE56" s="428">
        <v>0</v>
      </c>
      <c r="DF56" s="428">
        <v>0</v>
      </c>
      <c r="DG56" s="428">
        <v>0</v>
      </c>
      <c r="DH56" s="428">
        <v>0</v>
      </c>
      <c r="DI56" s="428">
        <v>0</v>
      </c>
      <c r="DJ56" s="428">
        <v>0</v>
      </c>
      <c r="DK56" s="428">
        <v>0</v>
      </c>
      <c r="DL56" s="428">
        <v>0</v>
      </c>
      <c r="DM56" s="428">
        <v>0</v>
      </c>
      <c r="DN56" s="428">
        <v>0</v>
      </c>
      <c r="DO56" s="428">
        <v>0</v>
      </c>
      <c r="DP56" s="428">
        <v>0</v>
      </c>
      <c r="DQ56" s="428">
        <v>0</v>
      </c>
      <c r="DR56" s="428">
        <v>0</v>
      </c>
      <c r="DS56" s="428">
        <v>0</v>
      </c>
      <c r="DT56" s="428">
        <v>0</v>
      </c>
      <c r="DU56" s="428">
        <v>0</v>
      </c>
      <c r="DV56" s="428">
        <v>0</v>
      </c>
      <c r="ED56" s="135"/>
      <c r="EE56" s="357" t="s">
        <v>645</v>
      </c>
      <c r="EF56" s="426" t="s">
        <v>777</v>
      </c>
      <c r="EG56" s="426">
        <v>2</v>
      </c>
      <c r="EH56" s="426">
        <v>28</v>
      </c>
      <c r="EI56" s="208" t="str">
        <f t="shared" si="2"/>
        <v>CLX200228</v>
      </c>
      <c r="EJ56" s="426">
        <v>296.8</v>
      </c>
      <c r="EK56" s="426">
        <v>593.6</v>
      </c>
      <c r="EL56" s="426">
        <v>890.4</v>
      </c>
      <c r="EM56" s="426">
        <v>1187.2</v>
      </c>
      <c r="EN56" s="426">
        <v>1484</v>
      </c>
      <c r="EO56" s="426">
        <v>1780.8</v>
      </c>
      <c r="EP56" s="426">
        <v>2077.6</v>
      </c>
      <c r="EQ56" s="426">
        <v>2374.4</v>
      </c>
      <c r="ER56" s="426">
        <v>2671.2</v>
      </c>
      <c r="ES56" s="426">
        <v>2968</v>
      </c>
      <c r="ET56" s="426">
        <v>3264.8</v>
      </c>
      <c r="EU56" s="426">
        <v>3561.6</v>
      </c>
      <c r="EV56" s="426">
        <v>3858.4</v>
      </c>
      <c r="EW56" s="426">
        <v>4155.2</v>
      </c>
      <c r="EX56" s="426">
        <v>4452</v>
      </c>
      <c r="EY56" s="426">
        <v>4748.8</v>
      </c>
      <c r="EZ56" s="426">
        <v>5045.6000000000004</v>
      </c>
      <c r="FA56" s="426">
        <v>5342.4</v>
      </c>
      <c r="FB56" s="426">
        <v>5639.2</v>
      </c>
      <c r="FC56" s="426">
        <v>5936</v>
      </c>
      <c r="FD56" s="426">
        <v>5936</v>
      </c>
      <c r="FE56" s="426">
        <v>5936</v>
      </c>
      <c r="FF56" s="426">
        <v>5936</v>
      </c>
      <c r="FG56" s="426">
        <v>5936</v>
      </c>
      <c r="FH56" s="426">
        <v>5936</v>
      </c>
      <c r="FI56" s="426">
        <v>5936</v>
      </c>
      <c r="FJ56" s="426">
        <v>5936</v>
      </c>
      <c r="FK56" s="426">
        <v>5936</v>
      </c>
      <c r="FL56" s="426">
        <v>5936</v>
      </c>
      <c r="FM56" s="426">
        <v>5936</v>
      </c>
      <c r="FN56" s="426">
        <v>5936</v>
      </c>
      <c r="FO56" s="426">
        <v>5936</v>
      </c>
      <c r="FP56" s="426">
        <v>5936</v>
      </c>
      <c r="FQ56" s="426">
        <v>5936</v>
      </c>
      <c r="FR56" s="426">
        <v>5936</v>
      </c>
      <c r="FS56" s="426">
        <v>5936</v>
      </c>
      <c r="FT56" s="426">
        <v>5936</v>
      </c>
      <c r="FU56" s="426">
        <v>5936</v>
      </c>
      <c r="FV56" s="426">
        <v>5936</v>
      </c>
      <c r="FW56" s="426">
        <v>5936</v>
      </c>
      <c r="FX56" s="426">
        <v>5936</v>
      </c>
      <c r="FY56" s="426">
        <v>5936</v>
      </c>
      <c r="FZ56" s="426">
        <v>5936</v>
      </c>
      <c r="GA56" s="426">
        <v>5936</v>
      </c>
      <c r="GB56" s="426">
        <v>5936</v>
      </c>
      <c r="GC56" s="426">
        <v>5936</v>
      </c>
      <c r="GD56" s="426">
        <v>5936</v>
      </c>
      <c r="GE56" s="426">
        <v>5936</v>
      </c>
      <c r="GF56" s="426">
        <v>5936</v>
      </c>
      <c r="GG56" s="426">
        <v>5936</v>
      </c>
      <c r="GH56" s="426">
        <v>5936</v>
      </c>
      <c r="GI56" s="426">
        <v>5936</v>
      </c>
      <c r="GJ56" s="426">
        <v>5936</v>
      </c>
      <c r="GK56" s="426">
        <v>5936</v>
      </c>
      <c r="GL56" s="426">
        <v>5936</v>
      </c>
      <c r="GM56" s="426">
        <v>5936</v>
      </c>
      <c r="GN56" s="426">
        <v>5936</v>
      </c>
      <c r="GO56" s="426">
        <v>5936</v>
      </c>
      <c r="GP56" s="426">
        <v>5936</v>
      </c>
      <c r="GQ56" s="426">
        <v>5936</v>
      </c>
      <c r="GR56" s="426">
        <v>5936</v>
      </c>
      <c r="GS56" s="426">
        <v>5936</v>
      </c>
      <c r="GT56" s="426">
        <v>0</v>
      </c>
      <c r="GU56" s="426">
        <v>0</v>
      </c>
      <c r="GV56" s="426">
        <v>0</v>
      </c>
      <c r="GW56" s="426">
        <v>0</v>
      </c>
      <c r="GX56" s="426">
        <v>0</v>
      </c>
      <c r="GY56" s="426">
        <v>0</v>
      </c>
      <c r="GZ56" s="426">
        <v>0</v>
      </c>
      <c r="HA56" s="426">
        <v>0</v>
      </c>
      <c r="HB56" s="426">
        <v>0</v>
      </c>
      <c r="HC56" s="426">
        <v>0</v>
      </c>
      <c r="HD56" s="426">
        <v>0</v>
      </c>
      <c r="HE56" s="426">
        <v>0</v>
      </c>
      <c r="HF56" s="426">
        <v>0</v>
      </c>
      <c r="HG56" s="426">
        <v>0</v>
      </c>
      <c r="HH56" s="426">
        <v>0</v>
      </c>
      <c r="HI56" s="426">
        <v>0</v>
      </c>
      <c r="HJ56" s="426">
        <v>0</v>
      </c>
      <c r="HK56" s="426">
        <v>0</v>
      </c>
      <c r="HL56" s="426">
        <v>0</v>
      </c>
      <c r="HM56" s="426">
        <v>0</v>
      </c>
      <c r="HN56" s="426">
        <v>0</v>
      </c>
      <c r="HO56" s="426">
        <v>0</v>
      </c>
      <c r="HP56" s="426">
        <v>0</v>
      </c>
      <c r="HQ56" s="426">
        <v>0</v>
      </c>
      <c r="HR56" s="426">
        <v>0</v>
      </c>
      <c r="HS56" s="426">
        <v>0</v>
      </c>
      <c r="HT56" s="426">
        <v>0</v>
      </c>
      <c r="HU56" s="426">
        <v>0</v>
      </c>
      <c r="HV56" s="426">
        <v>0</v>
      </c>
      <c r="HW56" s="426">
        <v>0</v>
      </c>
      <c r="HX56" s="426">
        <v>0</v>
      </c>
      <c r="HY56" s="426">
        <v>0</v>
      </c>
      <c r="HZ56" s="426">
        <v>0</v>
      </c>
      <c r="IA56" s="426">
        <v>0</v>
      </c>
      <c r="IB56" s="426">
        <v>0</v>
      </c>
      <c r="IC56" s="426">
        <v>0</v>
      </c>
      <c r="ID56" s="426">
        <v>0</v>
      </c>
      <c r="IE56" s="426">
        <v>0</v>
      </c>
      <c r="IF56" s="426">
        <v>0</v>
      </c>
      <c r="IG56" s="426">
        <v>0</v>
      </c>
      <c r="IH56" s="426">
        <v>0</v>
      </c>
      <c r="II56" s="426">
        <v>0</v>
      </c>
      <c r="IJ56" s="426">
        <v>0</v>
      </c>
      <c r="IK56" s="426">
        <v>0</v>
      </c>
      <c r="IL56" s="426">
        <v>0</v>
      </c>
      <c r="IM56" s="426">
        <v>0</v>
      </c>
      <c r="IN56" s="426">
        <v>0</v>
      </c>
      <c r="IO56" s="426">
        <v>0</v>
      </c>
      <c r="IP56" s="426">
        <v>0</v>
      </c>
    </row>
    <row r="57" spans="1:250" ht="15">
      <c r="A57" s="357" t="s">
        <v>645</v>
      </c>
      <c r="B57" s="427" t="s">
        <v>777</v>
      </c>
      <c r="C57" s="427"/>
      <c r="D57" s="427"/>
      <c r="E57" s="427"/>
      <c r="F57" s="427">
        <v>2</v>
      </c>
      <c r="G57" s="427"/>
      <c r="H57" s="427">
        <v>29</v>
      </c>
      <c r="I57" s="427"/>
      <c r="J57" t="str">
        <f t="shared" si="0"/>
        <v>CLX200229</v>
      </c>
      <c r="K57" s="427">
        <v>285</v>
      </c>
      <c r="R57" s="357" t="s">
        <v>645</v>
      </c>
      <c r="S57" s="428" t="s">
        <v>777</v>
      </c>
      <c r="T57" s="428">
        <v>2</v>
      </c>
      <c r="U57" s="428">
        <v>29</v>
      </c>
      <c r="V57" s="208" t="str">
        <f t="shared" si="1"/>
        <v>CLX200229</v>
      </c>
      <c r="W57" s="428">
        <v>0</v>
      </c>
      <c r="X57" s="428">
        <v>0</v>
      </c>
      <c r="Y57" s="428">
        <v>0</v>
      </c>
      <c r="Z57" s="428">
        <v>0</v>
      </c>
      <c r="AA57" s="428">
        <v>0</v>
      </c>
      <c r="AB57" s="428">
        <v>0</v>
      </c>
      <c r="AC57" s="428">
        <v>0</v>
      </c>
      <c r="AD57" s="428">
        <v>0</v>
      </c>
      <c r="AE57" s="428">
        <v>0</v>
      </c>
      <c r="AF57" s="428">
        <v>0</v>
      </c>
      <c r="AG57" s="428">
        <v>0</v>
      </c>
      <c r="AH57" s="428">
        <v>0</v>
      </c>
      <c r="AI57" s="428">
        <v>0</v>
      </c>
      <c r="AJ57" s="428">
        <v>0</v>
      </c>
      <c r="AK57" s="428">
        <v>0</v>
      </c>
      <c r="AL57" s="428">
        <v>0</v>
      </c>
      <c r="AM57" s="428">
        <v>0</v>
      </c>
      <c r="AN57" s="428">
        <v>0</v>
      </c>
      <c r="AO57" s="428">
        <v>0</v>
      </c>
      <c r="AP57" s="428">
        <v>0</v>
      </c>
      <c r="AQ57" s="428">
        <v>0</v>
      </c>
      <c r="AR57" s="428">
        <v>0</v>
      </c>
      <c r="AS57" s="428">
        <v>0</v>
      </c>
      <c r="AT57" s="428">
        <v>0</v>
      </c>
      <c r="AU57" s="428">
        <v>0</v>
      </c>
      <c r="AV57" s="428">
        <v>0</v>
      </c>
      <c r="AW57" s="428">
        <v>0</v>
      </c>
      <c r="AX57" s="428">
        <v>0</v>
      </c>
      <c r="AY57" s="428">
        <v>0</v>
      </c>
      <c r="AZ57" s="428">
        <v>0</v>
      </c>
      <c r="BA57" s="428">
        <v>0</v>
      </c>
      <c r="BB57" s="428">
        <v>0</v>
      </c>
      <c r="BC57" s="428">
        <v>0</v>
      </c>
      <c r="BD57" s="428">
        <v>0</v>
      </c>
      <c r="BE57" s="428">
        <v>0</v>
      </c>
      <c r="BF57" s="428">
        <v>0</v>
      </c>
      <c r="BG57" s="428">
        <v>0</v>
      </c>
      <c r="BH57" s="428">
        <v>0</v>
      </c>
      <c r="BI57" s="428">
        <v>0</v>
      </c>
      <c r="BJ57" s="428">
        <v>0</v>
      </c>
      <c r="BK57" s="428">
        <v>0</v>
      </c>
      <c r="BL57" s="428">
        <v>0</v>
      </c>
      <c r="BM57" s="428">
        <v>0</v>
      </c>
      <c r="BN57" s="428">
        <v>0</v>
      </c>
      <c r="BO57" s="428">
        <v>0</v>
      </c>
      <c r="BP57" s="428">
        <v>0</v>
      </c>
      <c r="BQ57" s="428">
        <v>0</v>
      </c>
      <c r="BR57" s="428">
        <v>0</v>
      </c>
      <c r="BS57" s="428">
        <v>0</v>
      </c>
      <c r="BT57" s="428">
        <v>0</v>
      </c>
      <c r="BU57" s="428">
        <v>0</v>
      </c>
      <c r="BV57" s="428">
        <v>0</v>
      </c>
      <c r="BW57" s="428">
        <v>0</v>
      </c>
      <c r="BX57" s="428">
        <v>0</v>
      </c>
      <c r="BY57" s="428">
        <v>0</v>
      </c>
      <c r="BZ57" s="428">
        <v>0</v>
      </c>
      <c r="CA57" s="428">
        <v>0</v>
      </c>
      <c r="CB57" s="428">
        <v>0</v>
      </c>
      <c r="CC57" s="428">
        <v>0</v>
      </c>
      <c r="CD57" s="428">
        <v>0</v>
      </c>
      <c r="CE57" s="428">
        <v>6042</v>
      </c>
      <c r="CF57" s="428">
        <v>0</v>
      </c>
      <c r="CG57" s="428">
        <v>0</v>
      </c>
      <c r="CH57" s="428">
        <v>0</v>
      </c>
      <c r="CI57" s="428">
        <v>0</v>
      </c>
      <c r="CJ57" s="428">
        <v>0</v>
      </c>
      <c r="CK57" s="428">
        <v>0</v>
      </c>
      <c r="CL57" s="428">
        <v>0</v>
      </c>
      <c r="CM57" s="428">
        <v>0</v>
      </c>
      <c r="CN57" s="428">
        <v>0</v>
      </c>
      <c r="CO57" s="428">
        <v>0</v>
      </c>
      <c r="CP57" s="428">
        <v>0</v>
      </c>
      <c r="CQ57" s="428">
        <v>0</v>
      </c>
      <c r="CR57" s="428">
        <v>0</v>
      </c>
      <c r="CS57" s="428">
        <v>0</v>
      </c>
      <c r="CT57" s="428">
        <v>0</v>
      </c>
      <c r="CU57" s="428">
        <v>0</v>
      </c>
      <c r="CV57" s="428">
        <v>0</v>
      </c>
      <c r="CW57" s="428">
        <v>0</v>
      </c>
      <c r="CX57" s="428">
        <v>0</v>
      </c>
      <c r="CY57" s="428">
        <v>0</v>
      </c>
      <c r="CZ57" s="428">
        <v>0</v>
      </c>
      <c r="DA57" s="428">
        <v>0</v>
      </c>
      <c r="DB57" s="428">
        <v>0</v>
      </c>
      <c r="DC57" s="428">
        <v>0</v>
      </c>
      <c r="DD57" s="428">
        <v>0</v>
      </c>
      <c r="DE57" s="428">
        <v>0</v>
      </c>
      <c r="DF57" s="428">
        <v>0</v>
      </c>
      <c r="DG57" s="428">
        <v>0</v>
      </c>
      <c r="DH57" s="428">
        <v>0</v>
      </c>
      <c r="DI57" s="428">
        <v>0</v>
      </c>
      <c r="DJ57" s="428">
        <v>0</v>
      </c>
      <c r="DK57" s="428">
        <v>0</v>
      </c>
      <c r="DL57" s="428">
        <v>0</v>
      </c>
      <c r="DM57" s="428">
        <v>0</v>
      </c>
      <c r="DN57" s="428">
        <v>0</v>
      </c>
      <c r="DO57" s="428">
        <v>0</v>
      </c>
      <c r="DP57" s="428">
        <v>0</v>
      </c>
      <c r="DQ57" s="428">
        <v>0</v>
      </c>
      <c r="DR57" s="428">
        <v>0</v>
      </c>
      <c r="DS57" s="428">
        <v>0</v>
      </c>
      <c r="DT57" s="428">
        <v>0</v>
      </c>
      <c r="DU57" s="428">
        <v>0</v>
      </c>
      <c r="DV57" s="428">
        <v>0</v>
      </c>
      <c r="ED57" s="135"/>
      <c r="EE57" s="357" t="s">
        <v>645</v>
      </c>
      <c r="EF57" s="426" t="s">
        <v>777</v>
      </c>
      <c r="EG57" s="426">
        <v>2</v>
      </c>
      <c r="EH57" s="426">
        <v>29</v>
      </c>
      <c r="EI57" s="208" t="str">
        <f t="shared" si="2"/>
        <v>CLX200229</v>
      </c>
      <c r="EJ57" s="426">
        <v>302.10000000000002</v>
      </c>
      <c r="EK57" s="426">
        <v>604.20000000000005</v>
      </c>
      <c r="EL57" s="426">
        <v>906.3</v>
      </c>
      <c r="EM57" s="426">
        <v>1208.4000000000001</v>
      </c>
      <c r="EN57" s="426">
        <v>1510.5</v>
      </c>
      <c r="EO57" s="426">
        <v>1812.6</v>
      </c>
      <c r="EP57" s="426">
        <v>2114.6999999999998</v>
      </c>
      <c r="EQ57" s="426">
        <v>2416.8000000000002</v>
      </c>
      <c r="ER57" s="426">
        <v>2718.9</v>
      </c>
      <c r="ES57" s="426">
        <v>3021</v>
      </c>
      <c r="ET57" s="426">
        <v>3323.1</v>
      </c>
      <c r="EU57" s="426">
        <v>3625.2</v>
      </c>
      <c r="EV57" s="426">
        <v>3927.3</v>
      </c>
      <c r="EW57" s="426">
        <v>4229.3999999999996</v>
      </c>
      <c r="EX57" s="426">
        <v>4531.5</v>
      </c>
      <c r="EY57" s="426">
        <v>4833.6000000000004</v>
      </c>
      <c r="EZ57" s="426">
        <v>5135.7</v>
      </c>
      <c r="FA57" s="426">
        <v>5437.8</v>
      </c>
      <c r="FB57" s="426">
        <v>5739.9</v>
      </c>
      <c r="FC57" s="426">
        <v>6042</v>
      </c>
      <c r="FD57" s="426">
        <v>6042</v>
      </c>
      <c r="FE57" s="426">
        <v>6042</v>
      </c>
      <c r="FF57" s="426">
        <v>6042</v>
      </c>
      <c r="FG57" s="426">
        <v>6042</v>
      </c>
      <c r="FH57" s="426">
        <v>6042</v>
      </c>
      <c r="FI57" s="426">
        <v>6042</v>
      </c>
      <c r="FJ57" s="426">
        <v>6042</v>
      </c>
      <c r="FK57" s="426">
        <v>6042</v>
      </c>
      <c r="FL57" s="426">
        <v>6042</v>
      </c>
      <c r="FM57" s="426">
        <v>6042</v>
      </c>
      <c r="FN57" s="426">
        <v>6042</v>
      </c>
      <c r="FO57" s="426">
        <v>6042</v>
      </c>
      <c r="FP57" s="426">
        <v>6042</v>
      </c>
      <c r="FQ57" s="426">
        <v>6042</v>
      </c>
      <c r="FR57" s="426">
        <v>6042</v>
      </c>
      <c r="FS57" s="426">
        <v>6042</v>
      </c>
      <c r="FT57" s="426">
        <v>6042</v>
      </c>
      <c r="FU57" s="426">
        <v>6042</v>
      </c>
      <c r="FV57" s="426">
        <v>6042</v>
      </c>
      <c r="FW57" s="426">
        <v>6042</v>
      </c>
      <c r="FX57" s="426">
        <v>6042</v>
      </c>
      <c r="FY57" s="426">
        <v>6042</v>
      </c>
      <c r="FZ57" s="426">
        <v>6042</v>
      </c>
      <c r="GA57" s="426">
        <v>6042</v>
      </c>
      <c r="GB57" s="426">
        <v>6042</v>
      </c>
      <c r="GC57" s="426">
        <v>6042</v>
      </c>
      <c r="GD57" s="426">
        <v>6042</v>
      </c>
      <c r="GE57" s="426">
        <v>6042</v>
      </c>
      <c r="GF57" s="426">
        <v>6042</v>
      </c>
      <c r="GG57" s="426">
        <v>6042</v>
      </c>
      <c r="GH57" s="426">
        <v>6042</v>
      </c>
      <c r="GI57" s="426">
        <v>6042</v>
      </c>
      <c r="GJ57" s="426">
        <v>6042</v>
      </c>
      <c r="GK57" s="426">
        <v>6042</v>
      </c>
      <c r="GL57" s="426">
        <v>6042</v>
      </c>
      <c r="GM57" s="426">
        <v>6042</v>
      </c>
      <c r="GN57" s="426">
        <v>6042</v>
      </c>
      <c r="GO57" s="426">
        <v>6042</v>
      </c>
      <c r="GP57" s="426">
        <v>6042</v>
      </c>
      <c r="GQ57" s="426">
        <v>6042</v>
      </c>
      <c r="GR57" s="426">
        <v>6042</v>
      </c>
      <c r="GS57" s="426">
        <v>0</v>
      </c>
      <c r="GT57" s="426">
        <v>0</v>
      </c>
      <c r="GU57" s="426">
        <v>0</v>
      </c>
      <c r="GV57" s="426">
        <v>0</v>
      </c>
      <c r="GW57" s="426">
        <v>0</v>
      </c>
      <c r="GX57" s="426">
        <v>0</v>
      </c>
      <c r="GY57" s="426">
        <v>0</v>
      </c>
      <c r="GZ57" s="426">
        <v>0</v>
      </c>
      <c r="HA57" s="426">
        <v>0</v>
      </c>
      <c r="HB57" s="426">
        <v>0</v>
      </c>
      <c r="HC57" s="426">
        <v>0</v>
      </c>
      <c r="HD57" s="426">
        <v>0</v>
      </c>
      <c r="HE57" s="426">
        <v>0</v>
      </c>
      <c r="HF57" s="426">
        <v>0</v>
      </c>
      <c r="HG57" s="426">
        <v>0</v>
      </c>
      <c r="HH57" s="426">
        <v>0</v>
      </c>
      <c r="HI57" s="426">
        <v>0</v>
      </c>
      <c r="HJ57" s="426">
        <v>0</v>
      </c>
      <c r="HK57" s="426">
        <v>0</v>
      </c>
      <c r="HL57" s="426">
        <v>0</v>
      </c>
      <c r="HM57" s="426">
        <v>0</v>
      </c>
      <c r="HN57" s="426">
        <v>0</v>
      </c>
      <c r="HO57" s="426">
        <v>0</v>
      </c>
      <c r="HP57" s="426">
        <v>0</v>
      </c>
      <c r="HQ57" s="426">
        <v>0</v>
      </c>
      <c r="HR57" s="426">
        <v>0</v>
      </c>
      <c r="HS57" s="426">
        <v>0</v>
      </c>
      <c r="HT57" s="426">
        <v>0</v>
      </c>
      <c r="HU57" s="426">
        <v>0</v>
      </c>
      <c r="HV57" s="426">
        <v>0</v>
      </c>
      <c r="HW57" s="426">
        <v>0</v>
      </c>
      <c r="HX57" s="426">
        <v>0</v>
      </c>
      <c r="HY57" s="426">
        <v>0</v>
      </c>
      <c r="HZ57" s="426">
        <v>0</v>
      </c>
      <c r="IA57" s="426">
        <v>0</v>
      </c>
      <c r="IB57" s="426">
        <v>0</v>
      </c>
      <c r="IC57" s="426">
        <v>0</v>
      </c>
      <c r="ID57" s="426">
        <v>0</v>
      </c>
      <c r="IE57" s="426">
        <v>0</v>
      </c>
      <c r="IF57" s="426">
        <v>0</v>
      </c>
      <c r="IG57" s="426">
        <v>0</v>
      </c>
      <c r="IH57" s="426">
        <v>0</v>
      </c>
      <c r="II57" s="426">
        <v>0</v>
      </c>
      <c r="IJ57" s="426">
        <v>0</v>
      </c>
      <c r="IK57" s="426">
        <v>0</v>
      </c>
      <c r="IL57" s="426">
        <v>0</v>
      </c>
      <c r="IM57" s="426">
        <v>0</v>
      </c>
      <c r="IN57" s="426">
        <v>0</v>
      </c>
      <c r="IO57" s="426">
        <v>0</v>
      </c>
      <c r="IP57" s="426">
        <v>0</v>
      </c>
    </row>
    <row r="58" spans="1:250" ht="15">
      <c r="A58" s="357" t="s">
        <v>645</v>
      </c>
      <c r="B58" s="427" t="s">
        <v>777</v>
      </c>
      <c r="C58" s="427"/>
      <c r="D58" s="427"/>
      <c r="E58" s="427"/>
      <c r="F58" s="427">
        <v>2</v>
      </c>
      <c r="G58" s="427"/>
      <c r="H58" s="427">
        <v>30</v>
      </c>
      <c r="I58" s="427"/>
      <c r="J58" t="str">
        <f t="shared" si="0"/>
        <v>CLX200230</v>
      </c>
      <c r="K58" s="427">
        <v>290</v>
      </c>
      <c r="R58" s="357" t="s">
        <v>645</v>
      </c>
      <c r="S58" s="428" t="s">
        <v>777</v>
      </c>
      <c r="T58" s="428">
        <v>2</v>
      </c>
      <c r="U58" s="428">
        <v>30</v>
      </c>
      <c r="V58" s="208" t="str">
        <f t="shared" si="1"/>
        <v>CLX200230</v>
      </c>
      <c r="W58" s="428">
        <v>0</v>
      </c>
      <c r="X58" s="428">
        <v>0</v>
      </c>
      <c r="Y58" s="428">
        <v>0</v>
      </c>
      <c r="Z58" s="428">
        <v>0</v>
      </c>
      <c r="AA58" s="428">
        <v>0</v>
      </c>
      <c r="AB58" s="428">
        <v>0</v>
      </c>
      <c r="AC58" s="428">
        <v>0</v>
      </c>
      <c r="AD58" s="428">
        <v>0</v>
      </c>
      <c r="AE58" s="428">
        <v>0</v>
      </c>
      <c r="AF58" s="428">
        <v>0</v>
      </c>
      <c r="AG58" s="428">
        <v>0</v>
      </c>
      <c r="AH58" s="428">
        <v>0</v>
      </c>
      <c r="AI58" s="428">
        <v>0</v>
      </c>
      <c r="AJ58" s="428">
        <v>0</v>
      </c>
      <c r="AK58" s="428">
        <v>0</v>
      </c>
      <c r="AL58" s="428">
        <v>0</v>
      </c>
      <c r="AM58" s="428">
        <v>0</v>
      </c>
      <c r="AN58" s="428">
        <v>0</v>
      </c>
      <c r="AO58" s="428">
        <v>0</v>
      </c>
      <c r="AP58" s="428">
        <v>0</v>
      </c>
      <c r="AQ58" s="428">
        <v>0</v>
      </c>
      <c r="AR58" s="428">
        <v>0</v>
      </c>
      <c r="AS58" s="428">
        <v>0</v>
      </c>
      <c r="AT58" s="428">
        <v>0</v>
      </c>
      <c r="AU58" s="428">
        <v>0</v>
      </c>
      <c r="AV58" s="428">
        <v>0</v>
      </c>
      <c r="AW58" s="428">
        <v>0</v>
      </c>
      <c r="AX58" s="428">
        <v>0</v>
      </c>
      <c r="AY58" s="428">
        <v>0</v>
      </c>
      <c r="AZ58" s="428">
        <v>0</v>
      </c>
      <c r="BA58" s="428">
        <v>0</v>
      </c>
      <c r="BB58" s="428">
        <v>0</v>
      </c>
      <c r="BC58" s="428">
        <v>0</v>
      </c>
      <c r="BD58" s="428">
        <v>0</v>
      </c>
      <c r="BE58" s="428">
        <v>0</v>
      </c>
      <c r="BF58" s="428">
        <v>0</v>
      </c>
      <c r="BG58" s="428">
        <v>0</v>
      </c>
      <c r="BH58" s="428">
        <v>0</v>
      </c>
      <c r="BI58" s="428">
        <v>0</v>
      </c>
      <c r="BJ58" s="428">
        <v>0</v>
      </c>
      <c r="BK58" s="428">
        <v>0</v>
      </c>
      <c r="BL58" s="428">
        <v>0</v>
      </c>
      <c r="BM58" s="428">
        <v>0</v>
      </c>
      <c r="BN58" s="428">
        <v>0</v>
      </c>
      <c r="BO58" s="428">
        <v>0</v>
      </c>
      <c r="BP58" s="428">
        <v>0</v>
      </c>
      <c r="BQ58" s="428">
        <v>0</v>
      </c>
      <c r="BR58" s="428">
        <v>0</v>
      </c>
      <c r="BS58" s="428">
        <v>0</v>
      </c>
      <c r="BT58" s="428">
        <v>0</v>
      </c>
      <c r="BU58" s="428">
        <v>0</v>
      </c>
      <c r="BV58" s="428">
        <v>0</v>
      </c>
      <c r="BW58" s="428">
        <v>0</v>
      </c>
      <c r="BX58" s="428">
        <v>0</v>
      </c>
      <c r="BY58" s="428">
        <v>0</v>
      </c>
      <c r="BZ58" s="428">
        <v>0</v>
      </c>
      <c r="CA58" s="428">
        <v>0</v>
      </c>
      <c r="CB58" s="428">
        <v>0</v>
      </c>
      <c r="CC58" s="428">
        <v>0</v>
      </c>
      <c r="CD58" s="428">
        <v>6148.0000000000009</v>
      </c>
      <c r="CE58" s="428">
        <v>0</v>
      </c>
      <c r="CF58" s="428">
        <v>0</v>
      </c>
      <c r="CG58" s="428">
        <v>0</v>
      </c>
      <c r="CH58" s="428">
        <v>0</v>
      </c>
      <c r="CI58" s="428">
        <v>0</v>
      </c>
      <c r="CJ58" s="428">
        <v>0</v>
      </c>
      <c r="CK58" s="428">
        <v>0</v>
      </c>
      <c r="CL58" s="428">
        <v>0</v>
      </c>
      <c r="CM58" s="428">
        <v>0</v>
      </c>
      <c r="CN58" s="428">
        <v>0</v>
      </c>
      <c r="CO58" s="428">
        <v>0</v>
      </c>
      <c r="CP58" s="428">
        <v>0</v>
      </c>
      <c r="CQ58" s="428">
        <v>0</v>
      </c>
      <c r="CR58" s="428">
        <v>0</v>
      </c>
      <c r="CS58" s="428">
        <v>0</v>
      </c>
      <c r="CT58" s="428">
        <v>0</v>
      </c>
      <c r="CU58" s="428">
        <v>0</v>
      </c>
      <c r="CV58" s="428">
        <v>0</v>
      </c>
      <c r="CW58" s="428">
        <v>0</v>
      </c>
      <c r="CX58" s="428">
        <v>0</v>
      </c>
      <c r="CY58" s="428">
        <v>0</v>
      </c>
      <c r="CZ58" s="428">
        <v>0</v>
      </c>
      <c r="DA58" s="428">
        <v>0</v>
      </c>
      <c r="DB58" s="428">
        <v>0</v>
      </c>
      <c r="DC58" s="428">
        <v>0</v>
      </c>
      <c r="DD58" s="428">
        <v>0</v>
      </c>
      <c r="DE58" s="428">
        <v>0</v>
      </c>
      <c r="DF58" s="428">
        <v>0</v>
      </c>
      <c r="DG58" s="428">
        <v>0</v>
      </c>
      <c r="DH58" s="428">
        <v>0</v>
      </c>
      <c r="DI58" s="428">
        <v>0</v>
      </c>
      <c r="DJ58" s="428">
        <v>0</v>
      </c>
      <c r="DK58" s="428">
        <v>0</v>
      </c>
      <c r="DL58" s="428">
        <v>0</v>
      </c>
      <c r="DM58" s="428">
        <v>0</v>
      </c>
      <c r="DN58" s="428">
        <v>0</v>
      </c>
      <c r="DO58" s="428">
        <v>0</v>
      </c>
      <c r="DP58" s="428">
        <v>0</v>
      </c>
      <c r="DQ58" s="428">
        <v>0</v>
      </c>
      <c r="DR58" s="428">
        <v>0</v>
      </c>
      <c r="DS58" s="428">
        <v>0</v>
      </c>
      <c r="DT58" s="428">
        <v>0</v>
      </c>
      <c r="DU58" s="428">
        <v>0</v>
      </c>
      <c r="DV58" s="428">
        <v>0</v>
      </c>
      <c r="ED58" s="135"/>
      <c r="EE58" s="357" t="s">
        <v>645</v>
      </c>
      <c r="EF58" s="426" t="s">
        <v>777</v>
      </c>
      <c r="EG58" s="426">
        <v>2</v>
      </c>
      <c r="EH58" s="426">
        <v>30</v>
      </c>
      <c r="EI58" s="208" t="str">
        <f t="shared" si="2"/>
        <v>CLX200230</v>
      </c>
      <c r="EJ58" s="426">
        <v>307.39999999999998</v>
      </c>
      <c r="EK58" s="426">
        <v>614.79999999999995</v>
      </c>
      <c r="EL58" s="426">
        <v>922.2</v>
      </c>
      <c r="EM58" s="426">
        <v>1229.5999999999999</v>
      </c>
      <c r="EN58" s="426">
        <v>1537</v>
      </c>
      <c r="EO58" s="426">
        <v>1844.4</v>
      </c>
      <c r="EP58" s="426">
        <v>2151.8000000000002</v>
      </c>
      <c r="EQ58" s="426">
        <v>2459.1999999999998</v>
      </c>
      <c r="ER58" s="426">
        <v>2766.6</v>
      </c>
      <c r="ES58" s="426">
        <v>3074</v>
      </c>
      <c r="ET58" s="426">
        <v>3381.4</v>
      </c>
      <c r="EU58" s="426">
        <v>3688.8</v>
      </c>
      <c r="EV58" s="426">
        <v>3996.2</v>
      </c>
      <c r="EW58" s="426">
        <v>4303.6000000000004</v>
      </c>
      <c r="EX58" s="426">
        <v>4611</v>
      </c>
      <c r="EY58" s="426">
        <v>4918.3999999999996</v>
      </c>
      <c r="EZ58" s="426">
        <v>5225.8</v>
      </c>
      <c r="FA58" s="426">
        <v>5533.2</v>
      </c>
      <c r="FB58" s="426">
        <v>5840.6</v>
      </c>
      <c r="FC58" s="426">
        <v>6148</v>
      </c>
      <c r="FD58" s="426">
        <v>6148</v>
      </c>
      <c r="FE58" s="426">
        <v>6148</v>
      </c>
      <c r="FF58" s="426">
        <v>6148</v>
      </c>
      <c r="FG58" s="426">
        <v>6148</v>
      </c>
      <c r="FH58" s="426">
        <v>6148</v>
      </c>
      <c r="FI58" s="426">
        <v>6148</v>
      </c>
      <c r="FJ58" s="426">
        <v>6148</v>
      </c>
      <c r="FK58" s="426">
        <v>6148</v>
      </c>
      <c r="FL58" s="426">
        <v>6148</v>
      </c>
      <c r="FM58" s="426">
        <v>6148</v>
      </c>
      <c r="FN58" s="426">
        <v>6148</v>
      </c>
      <c r="FO58" s="426">
        <v>6148</v>
      </c>
      <c r="FP58" s="426">
        <v>6148</v>
      </c>
      <c r="FQ58" s="426">
        <v>6148</v>
      </c>
      <c r="FR58" s="426">
        <v>6148</v>
      </c>
      <c r="FS58" s="426">
        <v>6148</v>
      </c>
      <c r="FT58" s="426">
        <v>6148</v>
      </c>
      <c r="FU58" s="426">
        <v>6148</v>
      </c>
      <c r="FV58" s="426">
        <v>6148</v>
      </c>
      <c r="FW58" s="426">
        <v>6148</v>
      </c>
      <c r="FX58" s="426">
        <v>6148</v>
      </c>
      <c r="FY58" s="426">
        <v>6148</v>
      </c>
      <c r="FZ58" s="426">
        <v>6148</v>
      </c>
      <c r="GA58" s="426">
        <v>6148</v>
      </c>
      <c r="GB58" s="426">
        <v>6148</v>
      </c>
      <c r="GC58" s="426">
        <v>6148</v>
      </c>
      <c r="GD58" s="426">
        <v>6148</v>
      </c>
      <c r="GE58" s="426">
        <v>6148</v>
      </c>
      <c r="GF58" s="426">
        <v>6148</v>
      </c>
      <c r="GG58" s="426">
        <v>6148</v>
      </c>
      <c r="GH58" s="426">
        <v>6148</v>
      </c>
      <c r="GI58" s="426">
        <v>6148</v>
      </c>
      <c r="GJ58" s="426">
        <v>6148</v>
      </c>
      <c r="GK58" s="426">
        <v>6148</v>
      </c>
      <c r="GL58" s="426">
        <v>6148</v>
      </c>
      <c r="GM58" s="426">
        <v>6148</v>
      </c>
      <c r="GN58" s="426">
        <v>6148</v>
      </c>
      <c r="GO58" s="426">
        <v>6148</v>
      </c>
      <c r="GP58" s="426">
        <v>6148</v>
      </c>
      <c r="GQ58" s="426">
        <v>6148</v>
      </c>
      <c r="GR58" s="426">
        <v>0</v>
      </c>
      <c r="GS58" s="426">
        <v>0</v>
      </c>
      <c r="GT58" s="426">
        <v>0</v>
      </c>
      <c r="GU58" s="426">
        <v>0</v>
      </c>
      <c r="GV58" s="426">
        <v>0</v>
      </c>
      <c r="GW58" s="426">
        <v>0</v>
      </c>
      <c r="GX58" s="426">
        <v>0</v>
      </c>
      <c r="GY58" s="426">
        <v>0</v>
      </c>
      <c r="GZ58" s="426">
        <v>0</v>
      </c>
      <c r="HA58" s="426">
        <v>0</v>
      </c>
      <c r="HB58" s="426">
        <v>0</v>
      </c>
      <c r="HC58" s="426">
        <v>0</v>
      </c>
      <c r="HD58" s="426">
        <v>0</v>
      </c>
      <c r="HE58" s="426">
        <v>0</v>
      </c>
      <c r="HF58" s="426">
        <v>0</v>
      </c>
      <c r="HG58" s="426">
        <v>0</v>
      </c>
      <c r="HH58" s="426">
        <v>0</v>
      </c>
      <c r="HI58" s="426">
        <v>0</v>
      </c>
      <c r="HJ58" s="426">
        <v>0</v>
      </c>
      <c r="HK58" s="426">
        <v>0</v>
      </c>
      <c r="HL58" s="426">
        <v>0</v>
      </c>
      <c r="HM58" s="426">
        <v>0</v>
      </c>
      <c r="HN58" s="426">
        <v>0</v>
      </c>
      <c r="HO58" s="426">
        <v>0</v>
      </c>
      <c r="HP58" s="426">
        <v>0</v>
      </c>
      <c r="HQ58" s="426">
        <v>0</v>
      </c>
      <c r="HR58" s="426">
        <v>0</v>
      </c>
      <c r="HS58" s="426">
        <v>0</v>
      </c>
      <c r="HT58" s="426">
        <v>0</v>
      </c>
      <c r="HU58" s="426">
        <v>0</v>
      </c>
      <c r="HV58" s="426">
        <v>0</v>
      </c>
      <c r="HW58" s="426">
        <v>0</v>
      </c>
      <c r="HX58" s="426">
        <v>0</v>
      </c>
      <c r="HY58" s="426">
        <v>0</v>
      </c>
      <c r="HZ58" s="426">
        <v>0</v>
      </c>
      <c r="IA58" s="426">
        <v>0</v>
      </c>
      <c r="IB58" s="426">
        <v>0</v>
      </c>
      <c r="IC58" s="426">
        <v>0</v>
      </c>
      <c r="ID58" s="426">
        <v>0</v>
      </c>
      <c r="IE58" s="426">
        <v>0</v>
      </c>
      <c r="IF58" s="426">
        <v>0</v>
      </c>
      <c r="IG58" s="426">
        <v>0</v>
      </c>
      <c r="IH58" s="426">
        <v>0</v>
      </c>
      <c r="II58" s="426">
        <v>0</v>
      </c>
      <c r="IJ58" s="426">
        <v>0</v>
      </c>
      <c r="IK58" s="426">
        <v>0</v>
      </c>
      <c r="IL58" s="426">
        <v>0</v>
      </c>
      <c r="IM58" s="426">
        <v>0</v>
      </c>
      <c r="IN58" s="426">
        <v>0</v>
      </c>
      <c r="IO58" s="426">
        <v>0</v>
      </c>
      <c r="IP58" s="426">
        <v>0</v>
      </c>
    </row>
    <row r="59" spans="1:250" ht="15">
      <c r="A59" s="357" t="s">
        <v>645</v>
      </c>
      <c r="B59" s="427" t="s">
        <v>777</v>
      </c>
      <c r="C59" s="427"/>
      <c r="D59" s="427"/>
      <c r="E59" s="427"/>
      <c r="F59" s="427">
        <v>2</v>
      </c>
      <c r="G59" s="427"/>
      <c r="H59" s="427">
        <v>31</v>
      </c>
      <c r="I59" s="427"/>
      <c r="J59" t="str">
        <f t="shared" si="0"/>
        <v>CLX200231</v>
      </c>
      <c r="K59" s="427">
        <v>295</v>
      </c>
      <c r="R59" s="357" t="s">
        <v>645</v>
      </c>
      <c r="S59" s="428" t="s">
        <v>777</v>
      </c>
      <c r="T59" s="428">
        <v>2</v>
      </c>
      <c r="U59" s="428">
        <v>31</v>
      </c>
      <c r="V59" s="208" t="str">
        <f t="shared" si="1"/>
        <v>CLX200231</v>
      </c>
      <c r="W59" s="428">
        <v>0</v>
      </c>
      <c r="X59" s="428">
        <v>0</v>
      </c>
      <c r="Y59" s="428">
        <v>0</v>
      </c>
      <c r="Z59" s="428">
        <v>0</v>
      </c>
      <c r="AA59" s="428">
        <v>0</v>
      </c>
      <c r="AB59" s="428">
        <v>0</v>
      </c>
      <c r="AC59" s="428">
        <v>0</v>
      </c>
      <c r="AD59" s="428">
        <v>0</v>
      </c>
      <c r="AE59" s="428">
        <v>0</v>
      </c>
      <c r="AF59" s="428">
        <v>0</v>
      </c>
      <c r="AG59" s="428">
        <v>0</v>
      </c>
      <c r="AH59" s="428">
        <v>0</v>
      </c>
      <c r="AI59" s="428">
        <v>0</v>
      </c>
      <c r="AJ59" s="428">
        <v>0</v>
      </c>
      <c r="AK59" s="428">
        <v>0</v>
      </c>
      <c r="AL59" s="428">
        <v>0</v>
      </c>
      <c r="AM59" s="428">
        <v>0</v>
      </c>
      <c r="AN59" s="428">
        <v>0</v>
      </c>
      <c r="AO59" s="428">
        <v>0</v>
      </c>
      <c r="AP59" s="428">
        <v>0</v>
      </c>
      <c r="AQ59" s="428">
        <v>0</v>
      </c>
      <c r="AR59" s="428">
        <v>0</v>
      </c>
      <c r="AS59" s="428">
        <v>0</v>
      </c>
      <c r="AT59" s="428">
        <v>0</v>
      </c>
      <c r="AU59" s="428">
        <v>0</v>
      </c>
      <c r="AV59" s="428">
        <v>0</v>
      </c>
      <c r="AW59" s="428">
        <v>0</v>
      </c>
      <c r="AX59" s="428">
        <v>0</v>
      </c>
      <c r="AY59" s="428">
        <v>0</v>
      </c>
      <c r="AZ59" s="428">
        <v>0</v>
      </c>
      <c r="BA59" s="428">
        <v>0</v>
      </c>
      <c r="BB59" s="428">
        <v>0</v>
      </c>
      <c r="BC59" s="428">
        <v>0</v>
      </c>
      <c r="BD59" s="428">
        <v>0</v>
      </c>
      <c r="BE59" s="428">
        <v>0</v>
      </c>
      <c r="BF59" s="428">
        <v>0</v>
      </c>
      <c r="BG59" s="428">
        <v>0</v>
      </c>
      <c r="BH59" s="428">
        <v>0</v>
      </c>
      <c r="BI59" s="428">
        <v>0</v>
      </c>
      <c r="BJ59" s="428">
        <v>0</v>
      </c>
      <c r="BK59" s="428">
        <v>0</v>
      </c>
      <c r="BL59" s="428">
        <v>0</v>
      </c>
      <c r="BM59" s="428">
        <v>0</v>
      </c>
      <c r="BN59" s="428">
        <v>0</v>
      </c>
      <c r="BO59" s="428">
        <v>0</v>
      </c>
      <c r="BP59" s="428">
        <v>0</v>
      </c>
      <c r="BQ59" s="428">
        <v>0</v>
      </c>
      <c r="BR59" s="428">
        <v>0</v>
      </c>
      <c r="BS59" s="428">
        <v>0</v>
      </c>
      <c r="BT59" s="428">
        <v>0</v>
      </c>
      <c r="BU59" s="428">
        <v>0</v>
      </c>
      <c r="BV59" s="428">
        <v>0</v>
      </c>
      <c r="BW59" s="428">
        <v>0</v>
      </c>
      <c r="BX59" s="428">
        <v>0</v>
      </c>
      <c r="BY59" s="428">
        <v>0</v>
      </c>
      <c r="BZ59" s="428">
        <v>0</v>
      </c>
      <c r="CA59" s="428">
        <v>0</v>
      </c>
      <c r="CB59" s="428">
        <v>0</v>
      </c>
      <c r="CC59" s="428">
        <v>6254</v>
      </c>
      <c r="CD59" s="428">
        <v>0</v>
      </c>
      <c r="CE59" s="428">
        <v>0</v>
      </c>
      <c r="CF59" s="428">
        <v>0</v>
      </c>
      <c r="CG59" s="428">
        <v>0</v>
      </c>
      <c r="CH59" s="428">
        <v>0</v>
      </c>
      <c r="CI59" s="428">
        <v>0</v>
      </c>
      <c r="CJ59" s="428">
        <v>0</v>
      </c>
      <c r="CK59" s="428">
        <v>0</v>
      </c>
      <c r="CL59" s="428">
        <v>0</v>
      </c>
      <c r="CM59" s="428">
        <v>0</v>
      </c>
      <c r="CN59" s="428">
        <v>0</v>
      </c>
      <c r="CO59" s="428">
        <v>0</v>
      </c>
      <c r="CP59" s="428">
        <v>0</v>
      </c>
      <c r="CQ59" s="428">
        <v>0</v>
      </c>
      <c r="CR59" s="428">
        <v>0</v>
      </c>
      <c r="CS59" s="428">
        <v>0</v>
      </c>
      <c r="CT59" s="428">
        <v>0</v>
      </c>
      <c r="CU59" s="428">
        <v>0</v>
      </c>
      <c r="CV59" s="428">
        <v>0</v>
      </c>
      <c r="CW59" s="428">
        <v>0</v>
      </c>
      <c r="CX59" s="428">
        <v>0</v>
      </c>
      <c r="CY59" s="428">
        <v>0</v>
      </c>
      <c r="CZ59" s="428">
        <v>0</v>
      </c>
      <c r="DA59" s="428">
        <v>0</v>
      </c>
      <c r="DB59" s="428">
        <v>0</v>
      </c>
      <c r="DC59" s="428">
        <v>0</v>
      </c>
      <c r="DD59" s="428">
        <v>0</v>
      </c>
      <c r="DE59" s="428">
        <v>0</v>
      </c>
      <c r="DF59" s="428">
        <v>0</v>
      </c>
      <c r="DG59" s="428">
        <v>0</v>
      </c>
      <c r="DH59" s="428">
        <v>0</v>
      </c>
      <c r="DI59" s="428">
        <v>0</v>
      </c>
      <c r="DJ59" s="428">
        <v>0</v>
      </c>
      <c r="DK59" s="428">
        <v>0</v>
      </c>
      <c r="DL59" s="428">
        <v>0</v>
      </c>
      <c r="DM59" s="428">
        <v>0</v>
      </c>
      <c r="DN59" s="428">
        <v>0</v>
      </c>
      <c r="DO59" s="428">
        <v>0</v>
      </c>
      <c r="DP59" s="428">
        <v>0</v>
      </c>
      <c r="DQ59" s="428">
        <v>0</v>
      </c>
      <c r="DR59" s="428">
        <v>0</v>
      </c>
      <c r="DS59" s="428">
        <v>0</v>
      </c>
      <c r="DT59" s="428">
        <v>0</v>
      </c>
      <c r="DU59" s="428">
        <v>0</v>
      </c>
      <c r="DV59" s="428">
        <v>0</v>
      </c>
      <c r="ED59" s="135"/>
      <c r="EE59" s="357" t="s">
        <v>645</v>
      </c>
      <c r="EF59" s="426" t="s">
        <v>777</v>
      </c>
      <c r="EG59" s="426">
        <v>2</v>
      </c>
      <c r="EH59" s="426">
        <v>31</v>
      </c>
      <c r="EI59" s="208" t="str">
        <f t="shared" si="2"/>
        <v>CLX200231</v>
      </c>
      <c r="EJ59" s="426">
        <v>312.7</v>
      </c>
      <c r="EK59" s="426">
        <v>625.4</v>
      </c>
      <c r="EL59" s="426">
        <v>938.1</v>
      </c>
      <c r="EM59" s="426">
        <v>1250.8</v>
      </c>
      <c r="EN59" s="426">
        <v>1563.5</v>
      </c>
      <c r="EO59" s="426">
        <v>1876.2</v>
      </c>
      <c r="EP59" s="426">
        <v>2188.9</v>
      </c>
      <c r="EQ59" s="426">
        <v>2501.6</v>
      </c>
      <c r="ER59" s="426">
        <v>2814.3</v>
      </c>
      <c r="ES59" s="426">
        <v>3127</v>
      </c>
      <c r="ET59" s="426">
        <v>3439.7</v>
      </c>
      <c r="EU59" s="426">
        <v>3752.4</v>
      </c>
      <c r="EV59" s="426">
        <v>4065.1</v>
      </c>
      <c r="EW59" s="426">
        <v>4377.8</v>
      </c>
      <c r="EX59" s="426">
        <v>4690.5</v>
      </c>
      <c r="EY59" s="426">
        <v>5003.2</v>
      </c>
      <c r="EZ59" s="426">
        <v>5315.9</v>
      </c>
      <c r="FA59" s="426">
        <v>5628.6</v>
      </c>
      <c r="FB59" s="426">
        <v>5941.3</v>
      </c>
      <c r="FC59" s="426">
        <v>6254</v>
      </c>
      <c r="FD59" s="426">
        <v>6254</v>
      </c>
      <c r="FE59" s="426">
        <v>6254</v>
      </c>
      <c r="FF59" s="426">
        <v>6254</v>
      </c>
      <c r="FG59" s="426">
        <v>6254</v>
      </c>
      <c r="FH59" s="426">
        <v>6254</v>
      </c>
      <c r="FI59" s="426">
        <v>6254</v>
      </c>
      <c r="FJ59" s="426">
        <v>6254</v>
      </c>
      <c r="FK59" s="426">
        <v>6254</v>
      </c>
      <c r="FL59" s="426">
        <v>6254</v>
      </c>
      <c r="FM59" s="426">
        <v>6254</v>
      </c>
      <c r="FN59" s="426">
        <v>6254</v>
      </c>
      <c r="FO59" s="426">
        <v>6254</v>
      </c>
      <c r="FP59" s="426">
        <v>6254</v>
      </c>
      <c r="FQ59" s="426">
        <v>6254</v>
      </c>
      <c r="FR59" s="426">
        <v>6254</v>
      </c>
      <c r="FS59" s="426">
        <v>6254</v>
      </c>
      <c r="FT59" s="426">
        <v>6254</v>
      </c>
      <c r="FU59" s="426">
        <v>6254</v>
      </c>
      <c r="FV59" s="426">
        <v>6254</v>
      </c>
      <c r="FW59" s="426">
        <v>6254</v>
      </c>
      <c r="FX59" s="426">
        <v>6254</v>
      </c>
      <c r="FY59" s="426">
        <v>6254</v>
      </c>
      <c r="FZ59" s="426">
        <v>6254</v>
      </c>
      <c r="GA59" s="426">
        <v>6254</v>
      </c>
      <c r="GB59" s="426">
        <v>6254</v>
      </c>
      <c r="GC59" s="426">
        <v>6254</v>
      </c>
      <c r="GD59" s="426">
        <v>6254</v>
      </c>
      <c r="GE59" s="426">
        <v>6254</v>
      </c>
      <c r="GF59" s="426">
        <v>6254</v>
      </c>
      <c r="GG59" s="426">
        <v>6254</v>
      </c>
      <c r="GH59" s="426">
        <v>6254</v>
      </c>
      <c r="GI59" s="426">
        <v>6254</v>
      </c>
      <c r="GJ59" s="426">
        <v>6254</v>
      </c>
      <c r="GK59" s="426">
        <v>6254</v>
      </c>
      <c r="GL59" s="426">
        <v>6254</v>
      </c>
      <c r="GM59" s="426">
        <v>6254</v>
      </c>
      <c r="GN59" s="426">
        <v>6254</v>
      </c>
      <c r="GO59" s="426">
        <v>6254</v>
      </c>
      <c r="GP59" s="426">
        <v>6254</v>
      </c>
      <c r="GQ59" s="426">
        <v>0</v>
      </c>
      <c r="GR59" s="426">
        <v>0</v>
      </c>
      <c r="GS59" s="426">
        <v>0</v>
      </c>
      <c r="GT59" s="426">
        <v>0</v>
      </c>
      <c r="GU59" s="426">
        <v>0</v>
      </c>
      <c r="GV59" s="426">
        <v>0</v>
      </c>
      <c r="GW59" s="426">
        <v>0</v>
      </c>
      <c r="GX59" s="426">
        <v>0</v>
      </c>
      <c r="GY59" s="426">
        <v>0</v>
      </c>
      <c r="GZ59" s="426">
        <v>0</v>
      </c>
      <c r="HA59" s="426">
        <v>0</v>
      </c>
      <c r="HB59" s="426">
        <v>0</v>
      </c>
      <c r="HC59" s="426">
        <v>0</v>
      </c>
      <c r="HD59" s="426">
        <v>0</v>
      </c>
      <c r="HE59" s="426">
        <v>0</v>
      </c>
      <c r="HF59" s="426">
        <v>0</v>
      </c>
      <c r="HG59" s="426">
        <v>0</v>
      </c>
      <c r="HH59" s="426">
        <v>0</v>
      </c>
      <c r="HI59" s="426">
        <v>0</v>
      </c>
      <c r="HJ59" s="426">
        <v>0</v>
      </c>
      <c r="HK59" s="426">
        <v>0</v>
      </c>
      <c r="HL59" s="426">
        <v>0</v>
      </c>
      <c r="HM59" s="426">
        <v>0</v>
      </c>
      <c r="HN59" s="426">
        <v>0</v>
      </c>
      <c r="HO59" s="426">
        <v>0</v>
      </c>
      <c r="HP59" s="426">
        <v>0</v>
      </c>
      <c r="HQ59" s="426">
        <v>0</v>
      </c>
      <c r="HR59" s="426">
        <v>0</v>
      </c>
      <c r="HS59" s="426">
        <v>0</v>
      </c>
      <c r="HT59" s="426">
        <v>0</v>
      </c>
      <c r="HU59" s="426">
        <v>0</v>
      </c>
      <c r="HV59" s="426">
        <v>0</v>
      </c>
      <c r="HW59" s="426">
        <v>0</v>
      </c>
      <c r="HX59" s="426">
        <v>0</v>
      </c>
      <c r="HY59" s="426">
        <v>0</v>
      </c>
      <c r="HZ59" s="426">
        <v>0</v>
      </c>
      <c r="IA59" s="426">
        <v>0</v>
      </c>
      <c r="IB59" s="426">
        <v>0</v>
      </c>
      <c r="IC59" s="426">
        <v>0</v>
      </c>
      <c r="ID59" s="426">
        <v>0</v>
      </c>
      <c r="IE59" s="426">
        <v>0</v>
      </c>
      <c r="IF59" s="426">
        <v>0</v>
      </c>
      <c r="IG59" s="426">
        <v>0</v>
      </c>
      <c r="IH59" s="426">
        <v>0</v>
      </c>
      <c r="II59" s="426">
        <v>0</v>
      </c>
      <c r="IJ59" s="426">
        <v>0</v>
      </c>
      <c r="IK59" s="426">
        <v>0</v>
      </c>
      <c r="IL59" s="426">
        <v>0</v>
      </c>
      <c r="IM59" s="426">
        <v>0</v>
      </c>
      <c r="IN59" s="426">
        <v>0</v>
      </c>
      <c r="IO59" s="426">
        <v>0</v>
      </c>
      <c r="IP59" s="426">
        <v>0</v>
      </c>
    </row>
    <row r="60" spans="1:250" ht="15">
      <c r="A60" s="357" t="s">
        <v>645</v>
      </c>
      <c r="B60" s="427" t="s">
        <v>777</v>
      </c>
      <c r="C60" s="427"/>
      <c r="D60" s="427"/>
      <c r="E60" s="427"/>
      <c r="F60" s="427">
        <v>2</v>
      </c>
      <c r="G60" s="427"/>
      <c r="H60" s="427">
        <v>32</v>
      </c>
      <c r="I60" s="427"/>
      <c r="J60" t="str">
        <f t="shared" si="0"/>
        <v>CLX200232</v>
      </c>
      <c r="K60" s="427">
        <v>300</v>
      </c>
      <c r="R60" s="357" t="s">
        <v>645</v>
      </c>
      <c r="S60" s="428" t="s">
        <v>777</v>
      </c>
      <c r="T60" s="428">
        <v>2</v>
      </c>
      <c r="U60" s="428">
        <v>32</v>
      </c>
      <c r="V60" s="208" t="str">
        <f t="shared" si="1"/>
        <v>CLX200232</v>
      </c>
      <c r="W60" s="428">
        <v>0</v>
      </c>
      <c r="X60" s="428">
        <v>0</v>
      </c>
      <c r="Y60" s="428">
        <v>0</v>
      </c>
      <c r="Z60" s="428">
        <v>0</v>
      </c>
      <c r="AA60" s="428">
        <v>0</v>
      </c>
      <c r="AB60" s="428">
        <v>0</v>
      </c>
      <c r="AC60" s="428">
        <v>0</v>
      </c>
      <c r="AD60" s="428">
        <v>0</v>
      </c>
      <c r="AE60" s="428">
        <v>0</v>
      </c>
      <c r="AF60" s="428">
        <v>0</v>
      </c>
      <c r="AG60" s="428">
        <v>0</v>
      </c>
      <c r="AH60" s="428">
        <v>0</v>
      </c>
      <c r="AI60" s="428">
        <v>0</v>
      </c>
      <c r="AJ60" s="428">
        <v>0</v>
      </c>
      <c r="AK60" s="428">
        <v>0</v>
      </c>
      <c r="AL60" s="428">
        <v>0</v>
      </c>
      <c r="AM60" s="428">
        <v>0</v>
      </c>
      <c r="AN60" s="428">
        <v>0</v>
      </c>
      <c r="AO60" s="428">
        <v>0</v>
      </c>
      <c r="AP60" s="428">
        <v>0</v>
      </c>
      <c r="AQ60" s="428">
        <v>0</v>
      </c>
      <c r="AR60" s="428">
        <v>0</v>
      </c>
      <c r="AS60" s="428">
        <v>0</v>
      </c>
      <c r="AT60" s="428">
        <v>0</v>
      </c>
      <c r="AU60" s="428">
        <v>0</v>
      </c>
      <c r="AV60" s="428">
        <v>0</v>
      </c>
      <c r="AW60" s="428">
        <v>0</v>
      </c>
      <c r="AX60" s="428">
        <v>0</v>
      </c>
      <c r="AY60" s="428">
        <v>0</v>
      </c>
      <c r="AZ60" s="428">
        <v>0</v>
      </c>
      <c r="BA60" s="428">
        <v>0</v>
      </c>
      <c r="BB60" s="428">
        <v>0</v>
      </c>
      <c r="BC60" s="428">
        <v>0</v>
      </c>
      <c r="BD60" s="428">
        <v>0</v>
      </c>
      <c r="BE60" s="428">
        <v>0</v>
      </c>
      <c r="BF60" s="428">
        <v>0</v>
      </c>
      <c r="BG60" s="428">
        <v>0</v>
      </c>
      <c r="BH60" s="428">
        <v>0</v>
      </c>
      <c r="BI60" s="428">
        <v>0</v>
      </c>
      <c r="BJ60" s="428">
        <v>0</v>
      </c>
      <c r="BK60" s="428">
        <v>0</v>
      </c>
      <c r="BL60" s="428">
        <v>0</v>
      </c>
      <c r="BM60" s="428">
        <v>0</v>
      </c>
      <c r="BN60" s="428">
        <v>0</v>
      </c>
      <c r="BO60" s="428">
        <v>0</v>
      </c>
      <c r="BP60" s="428">
        <v>0</v>
      </c>
      <c r="BQ60" s="428">
        <v>0</v>
      </c>
      <c r="BR60" s="428">
        <v>0</v>
      </c>
      <c r="BS60" s="428">
        <v>0</v>
      </c>
      <c r="BT60" s="428">
        <v>0</v>
      </c>
      <c r="BU60" s="428">
        <v>0</v>
      </c>
      <c r="BV60" s="428">
        <v>0</v>
      </c>
      <c r="BW60" s="428">
        <v>0</v>
      </c>
      <c r="BX60" s="428">
        <v>0</v>
      </c>
      <c r="BY60" s="428">
        <v>0</v>
      </c>
      <c r="BZ60" s="428">
        <v>0</v>
      </c>
      <c r="CA60" s="428">
        <v>0</v>
      </c>
      <c r="CB60" s="428">
        <v>6360</v>
      </c>
      <c r="CC60" s="428">
        <v>0</v>
      </c>
      <c r="CD60" s="428">
        <v>0</v>
      </c>
      <c r="CE60" s="428">
        <v>0</v>
      </c>
      <c r="CF60" s="428">
        <v>0</v>
      </c>
      <c r="CG60" s="428">
        <v>0</v>
      </c>
      <c r="CH60" s="428">
        <v>0</v>
      </c>
      <c r="CI60" s="428">
        <v>0</v>
      </c>
      <c r="CJ60" s="428">
        <v>0</v>
      </c>
      <c r="CK60" s="428">
        <v>0</v>
      </c>
      <c r="CL60" s="428">
        <v>0</v>
      </c>
      <c r="CM60" s="428">
        <v>0</v>
      </c>
      <c r="CN60" s="428">
        <v>0</v>
      </c>
      <c r="CO60" s="428">
        <v>0</v>
      </c>
      <c r="CP60" s="428">
        <v>0</v>
      </c>
      <c r="CQ60" s="428">
        <v>0</v>
      </c>
      <c r="CR60" s="428">
        <v>0</v>
      </c>
      <c r="CS60" s="428">
        <v>0</v>
      </c>
      <c r="CT60" s="428">
        <v>0</v>
      </c>
      <c r="CU60" s="428">
        <v>0</v>
      </c>
      <c r="CV60" s="428">
        <v>0</v>
      </c>
      <c r="CW60" s="428">
        <v>0</v>
      </c>
      <c r="CX60" s="428">
        <v>0</v>
      </c>
      <c r="CY60" s="428">
        <v>0</v>
      </c>
      <c r="CZ60" s="428">
        <v>0</v>
      </c>
      <c r="DA60" s="428">
        <v>0</v>
      </c>
      <c r="DB60" s="428">
        <v>0</v>
      </c>
      <c r="DC60" s="428">
        <v>0</v>
      </c>
      <c r="DD60" s="428">
        <v>0</v>
      </c>
      <c r="DE60" s="428">
        <v>0</v>
      </c>
      <c r="DF60" s="428">
        <v>0</v>
      </c>
      <c r="DG60" s="428">
        <v>0</v>
      </c>
      <c r="DH60" s="428">
        <v>0</v>
      </c>
      <c r="DI60" s="428">
        <v>0</v>
      </c>
      <c r="DJ60" s="428">
        <v>0</v>
      </c>
      <c r="DK60" s="428">
        <v>0</v>
      </c>
      <c r="DL60" s="428">
        <v>0</v>
      </c>
      <c r="DM60" s="428">
        <v>0</v>
      </c>
      <c r="DN60" s="428">
        <v>0</v>
      </c>
      <c r="DO60" s="428">
        <v>0</v>
      </c>
      <c r="DP60" s="428">
        <v>0</v>
      </c>
      <c r="DQ60" s="428">
        <v>0</v>
      </c>
      <c r="DR60" s="428">
        <v>0</v>
      </c>
      <c r="DS60" s="428">
        <v>0</v>
      </c>
      <c r="DT60" s="428">
        <v>0</v>
      </c>
      <c r="DU60" s="428">
        <v>0</v>
      </c>
      <c r="DV60" s="428">
        <v>0</v>
      </c>
      <c r="ED60" s="135"/>
      <c r="EE60" s="357" t="s">
        <v>645</v>
      </c>
      <c r="EF60" s="426" t="s">
        <v>777</v>
      </c>
      <c r="EG60" s="426">
        <v>2</v>
      </c>
      <c r="EH60" s="426">
        <v>32</v>
      </c>
      <c r="EI60" s="208" t="str">
        <f t="shared" si="2"/>
        <v>CLX200232</v>
      </c>
      <c r="EJ60" s="426">
        <v>318</v>
      </c>
      <c r="EK60" s="426">
        <v>636</v>
      </c>
      <c r="EL60" s="426">
        <v>954</v>
      </c>
      <c r="EM60" s="426">
        <v>1272</v>
      </c>
      <c r="EN60" s="426">
        <v>1590</v>
      </c>
      <c r="EO60" s="426">
        <v>1908</v>
      </c>
      <c r="EP60" s="426">
        <v>2226</v>
      </c>
      <c r="EQ60" s="426">
        <v>2544</v>
      </c>
      <c r="ER60" s="426">
        <v>2862</v>
      </c>
      <c r="ES60" s="426">
        <v>3180</v>
      </c>
      <c r="ET60" s="426">
        <v>3498</v>
      </c>
      <c r="EU60" s="426">
        <v>3816</v>
      </c>
      <c r="EV60" s="426">
        <v>4134</v>
      </c>
      <c r="EW60" s="426">
        <v>4452</v>
      </c>
      <c r="EX60" s="426">
        <v>4770</v>
      </c>
      <c r="EY60" s="426">
        <v>5088</v>
      </c>
      <c r="EZ60" s="426">
        <v>5406</v>
      </c>
      <c r="FA60" s="426">
        <v>5724</v>
      </c>
      <c r="FB60" s="426">
        <v>6042</v>
      </c>
      <c r="FC60" s="426">
        <v>6360</v>
      </c>
      <c r="FD60" s="426">
        <v>6360</v>
      </c>
      <c r="FE60" s="426">
        <v>6360</v>
      </c>
      <c r="FF60" s="426">
        <v>6360</v>
      </c>
      <c r="FG60" s="426">
        <v>6360</v>
      </c>
      <c r="FH60" s="426">
        <v>6360</v>
      </c>
      <c r="FI60" s="426">
        <v>6360</v>
      </c>
      <c r="FJ60" s="426">
        <v>6360</v>
      </c>
      <c r="FK60" s="426">
        <v>6360</v>
      </c>
      <c r="FL60" s="426">
        <v>6360</v>
      </c>
      <c r="FM60" s="426">
        <v>6360</v>
      </c>
      <c r="FN60" s="426">
        <v>6360</v>
      </c>
      <c r="FO60" s="426">
        <v>6360</v>
      </c>
      <c r="FP60" s="426">
        <v>6360</v>
      </c>
      <c r="FQ60" s="426">
        <v>6360</v>
      </c>
      <c r="FR60" s="426">
        <v>6360</v>
      </c>
      <c r="FS60" s="426">
        <v>6360</v>
      </c>
      <c r="FT60" s="426">
        <v>6360</v>
      </c>
      <c r="FU60" s="426">
        <v>6360</v>
      </c>
      <c r="FV60" s="426">
        <v>6360</v>
      </c>
      <c r="FW60" s="426">
        <v>6360</v>
      </c>
      <c r="FX60" s="426">
        <v>6360</v>
      </c>
      <c r="FY60" s="426">
        <v>6360</v>
      </c>
      <c r="FZ60" s="426">
        <v>6360</v>
      </c>
      <c r="GA60" s="426">
        <v>6360</v>
      </c>
      <c r="GB60" s="426">
        <v>6360</v>
      </c>
      <c r="GC60" s="426">
        <v>6360</v>
      </c>
      <c r="GD60" s="426">
        <v>6360</v>
      </c>
      <c r="GE60" s="426">
        <v>6360</v>
      </c>
      <c r="GF60" s="426">
        <v>6360</v>
      </c>
      <c r="GG60" s="426">
        <v>6360</v>
      </c>
      <c r="GH60" s="426">
        <v>6360</v>
      </c>
      <c r="GI60" s="426">
        <v>6360</v>
      </c>
      <c r="GJ60" s="426">
        <v>6360</v>
      </c>
      <c r="GK60" s="426">
        <v>6360</v>
      </c>
      <c r="GL60" s="426">
        <v>6360</v>
      </c>
      <c r="GM60" s="426">
        <v>6360</v>
      </c>
      <c r="GN60" s="426">
        <v>6360</v>
      </c>
      <c r="GO60" s="426">
        <v>6360</v>
      </c>
      <c r="GP60" s="426">
        <v>0</v>
      </c>
      <c r="GQ60" s="426">
        <v>0</v>
      </c>
      <c r="GR60" s="426">
        <v>0</v>
      </c>
      <c r="GS60" s="426">
        <v>0</v>
      </c>
      <c r="GT60" s="426">
        <v>0</v>
      </c>
      <c r="GU60" s="426">
        <v>0</v>
      </c>
      <c r="GV60" s="426">
        <v>0</v>
      </c>
      <c r="GW60" s="426">
        <v>0</v>
      </c>
      <c r="GX60" s="426">
        <v>0</v>
      </c>
      <c r="GY60" s="426">
        <v>0</v>
      </c>
      <c r="GZ60" s="426">
        <v>0</v>
      </c>
      <c r="HA60" s="426">
        <v>0</v>
      </c>
      <c r="HB60" s="426">
        <v>0</v>
      </c>
      <c r="HC60" s="426">
        <v>0</v>
      </c>
      <c r="HD60" s="426">
        <v>0</v>
      </c>
      <c r="HE60" s="426">
        <v>0</v>
      </c>
      <c r="HF60" s="426">
        <v>0</v>
      </c>
      <c r="HG60" s="426">
        <v>0</v>
      </c>
      <c r="HH60" s="426">
        <v>0</v>
      </c>
      <c r="HI60" s="426">
        <v>0</v>
      </c>
      <c r="HJ60" s="426">
        <v>0</v>
      </c>
      <c r="HK60" s="426">
        <v>0</v>
      </c>
      <c r="HL60" s="426">
        <v>0</v>
      </c>
      <c r="HM60" s="426">
        <v>0</v>
      </c>
      <c r="HN60" s="426">
        <v>0</v>
      </c>
      <c r="HO60" s="426">
        <v>0</v>
      </c>
      <c r="HP60" s="426">
        <v>0</v>
      </c>
      <c r="HQ60" s="426">
        <v>0</v>
      </c>
      <c r="HR60" s="426">
        <v>0</v>
      </c>
      <c r="HS60" s="426">
        <v>0</v>
      </c>
      <c r="HT60" s="426">
        <v>0</v>
      </c>
      <c r="HU60" s="426">
        <v>0</v>
      </c>
      <c r="HV60" s="426">
        <v>0</v>
      </c>
      <c r="HW60" s="426">
        <v>0</v>
      </c>
      <c r="HX60" s="426">
        <v>0</v>
      </c>
      <c r="HY60" s="426">
        <v>0</v>
      </c>
      <c r="HZ60" s="426">
        <v>0</v>
      </c>
      <c r="IA60" s="426">
        <v>0</v>
      </c>
      <c r="IB60" s="426">
        <v>0</v>
      </c>
      <c r="IC60" s="426">
        <v>0</v>
      </c>
      <c r="ID60" s="426">
        <v>0</v>
      </c>
      <c r="IE60" s="426">
        <v>0</v>
      </c>
      <c r="IF60" s="426">
        <v>0</v>
      </c>
      <c r="IG60" s="426">
        <v>0</v>
      </c>
      <c r="IH60" s="426">
        <v>0</v>
      </c>
      <c r="II60" s="426">
        <v>0</v>
      </c>
      <c r="IJ60" s="426">
        <v>0</v>
      </c>
      <c r="IK60" s="426">
        <v>0</v>
      </c>
      <c r="IL60" s="426">
        <v>0</v>
      </c>
      <c r="IM60" s="426">
        <v>0</v>
      </c>
      <c r="IN60" s="426">
        <v>0</v>
      </c>
      <c r="IO60" s="426">
        <v>0</v>
      </c>
      <c r="IP60" s="426">
        <v>0</v>
      </c>
    </row>
    <row r="61" spans="1:250" ht="15">
      <c r="A61" s="357" t="s">
        <v>645</v>
      </c>
      <c r="B61" s="427" t="s">
        <v>777</v>
      </c>
      <c r="C61" s="427"/>
      <c r="D61" s="427"/>
      <c r="E61" s="427"/>
      <c r="F61" s="427">
        <v>2</v>
      </c>
      <c r="G61" s="427"/>
      <c r="H61" s="427">
        <v>33</v>
      </c>
      <c r="I61" s="427"/>
      <c r="J61" t="str">
        <f t="shared" si="0"/>
        <v>CLX200233</v>
      </c>
      <c r="K61" s="427">
        <v>310</v>
      </c>
      <c r="R61" s="357" t="s">
        <v>645</v>
      </c>
      <c r="S61" s="428" t="s">
        <v>777</v>
      </c>
      <c r="T61" s="428">
        <v>2</v>
      </c>
      <c r="U61" s="428">
        <v>33</v>
      </c>
      <c r="V61" s="208" t="str">
        <f t="shared" si="1"/>
        <v>CLX200233</v>
      </c>
      <c r="W61" s="428">
        <v>0</v>
      </c>
      <c r="X61" s="428">
        <v>0</v>
      </c>
      <c r="Y61" s="428">
        <v>0</v>
      </c>
      <c r="Z61" s="428">
        <v>0</v>
      </c>
      <c r="AA61" s="428">
        <v>0</v>
      </c>
      <c r="AB61" s="428">
        <v>0</v>
      </c>
      <c r="AC61" s="428">
        <v>0</v>
      </c>
      <c r="AD61" s="428">
        <v>0</v>
      </c>
      <c r="AE61" s="428">
        <v>0</v>
      </c>
      <c r="AF61" s="428">
        <v>0</v>
      </c>
      <c r="AG61" s="428">
        <v>0</v>
      </c>
      <c r="AH61" s="428">
        <v>0</v>
      </c>
      <c r="AI61" s="428">
        <v>0</v>
      </c>
      <c r="AJ61" s="428">
        <v>0</v>
      </c>
      <c r="AK61" s="428">
        <v>0</v>
      </c>
      <c r="AL61" s="428">
        <v>0</v>
      </c>
      <c r="AM61" s="428">
        <v>0</v>
      </c>
      <c r="AN61" s="428">
        <v>0</v>
      </c>
      <c r="AO61" s="428">
        <v>0</v>
      </c>
      <c r="AP61" s="428">
        <v>0</v>
      </c>
      <c r="AQ61" s="428">
        <v>0</v>
      </c>
      <c r="AR61" s="428">
        <v>0</v>
      </c>
      <c r="AS61" s="428">
        <v>0</v>
      </c>
      <c r="AT61" s="428">
        <v>0</v>
      </c>
      <c r="AU61" s="428">
        <v>0</v>
      </c>
      <c r="AV61" s="428">
        <v>0</v>
      </c>
      <c r="AW61" s="428">
        <v>0</v>
      </c>
      <c r="AX61" s="428">
        <v>0</v>
      </c>
      <c r="AY61" s="428">
        <v>0</v>
      </c>
      <c r="AZ61" s="428">
        <v>0</v>
      </c>
      <c r="BA61" s="428">
        <v>0</v>
      </c>
      <c r="BB61" s="428">
        <v>0</v>
      </c>
      <c r="BC61" s="428">
        <v>0</v>
      </c>
      <c r="BD61" s="428">
        <v>0</v>
      </c>
      <c r="BE61" s="428">
        <v>0</v>
      </c>
      <c r="BF61" s="428">
        <v>0</v>
      </c>
      <c r="BG61" s="428">
        <v>0</v>
      </c>
      <c r="BH61" s="428">
        <v>0</v>
      </c>
      <c r="BI61" s="428">
        <v>0</v>
      </c>
      <c r="BJ61" s="428">
        <v>0</v>
      </c>
      <c r="BK61" s="428">
        <v>0</v>
      </c>
      <c r="BL61" s="428">
        <v>0</v>
      </c>
      <c r="BM61" s="428">
        <v>0</v>
      </c>
      <c r="BN61" s="428">
        <v>0</v>
      </c>
      <c r="BO61" s="428">
        <v>0</v>
      </c>
      <c r="BP61" s="428">
        <v>0</v>
      </c>
      <c r="BQ61" s="428">
        <v>0</v>
      </c>
      <c r="BR61" s="428">
        <v>0</v>
      </c>
      <c r="BS61" s="428">
        <v>0</v>
      </c>
      <c r="BT61" s="428">
        <v>0</v>
      </c>
      <c r="BU61" s="428">
        <v>0</v>
      </c>
      <c r="BV61" s="428">
        <v>0</v>
      </c>
      <c r="BW61" s="428">
        <v>0</v>
      </c>
      <c r="BX61" s="428">
        <v>0</v>
      </c>
      <c r="BY61" s="428">
        <v>0</v>
      </c>
      <c r="BZ61" s="428">
        <v>0</v>
      </c>
      <c r="CA61" s="428">
        <v>6572</v>
      </c>
      <c r="CB61" s="428">
        <v>0</v>
      </c>
      <c r="CC61" s="428">
        <v>0</v>
      </c>
      <c r="CD61" s="428">
        <v>0</v>
      </c>
      <c r="CE61" s="428">
        <v>0</v>
      </c>
      <c r="CF61" s="428">
        <v>0</v>
      </c>
      <c r="CG61" s="428">
        <v>0</v>
      </c>
      <c r="CH61" s="428">
        <v>0</v>
      </c>
      <c r="CI61" s="428">
        <v>0</v>
      </c>
      <c r="CJ61" s="428">
        <v>0</v>
      </c>
      <c r="CK61" s="428">
        <v>0</v>
      </c>
      <c r="CL61" s="428">
        <v>0</v>
      </c>
      <c r="CM61" s="428">
        <v>0</v>
      </c>
      <c r="CN61" s="428">
        <v>0</v>
      </c>
      <c r="CO61" s="428">
        <v>0</v>
      </c>
      <c r="CP61" s="428">
        <v>0</v>
      </c>
      <c r="CQ61" s="428">
        <v>0</v>
      </c>
      <c r="CR61" s="428">
        <v>0</v>
      </c>
      <c r="CS61" s="428">
        <v>0</v>
      </c>
      <c r="CT61" s="428">
        <v>0</v>
      </c>
      <c r="CU61" s="428">
        <v>0</v>
      </c>
      <c r="CV61" s="428">
        <v>0</v>
      </c>
      <c r="CW61" s="428">
        <v>0</v>
      </c>
      <c r="CX61" s="428">
        <v>0</v>
      </c>
      <c r="CY61" s="428">
        <v>0</v>
      </c>
      <c r="CZ61" s="428">
        <v>0</v>
      </c>
      <c r="DA61" s="428">
        <v>0</v>
      </c>
      <c r="DB61" s="428">
        <v>0</v>
      </c>
      <c r="DC61" s="428">
        <v>0</v>
      </c>
      <c r="DD61" s="428">
        <v>0</v>
      </c>
      <c r="DE61" s="428">
        <v>0</v>
      </c>
      <c r="DF61" s="428">
        <v>0</v>
      </c>
      <c r="DG61" s="428">
        <v>0</v>
      </c>
      <c r="DH61" s="428">
        <v>0</v>
      </c>
      <c r="DI61" s="428">
        <v>0</v>
      </c>
      <c r="DJ61" s="428">
        <v>0</v>
      </c>
      <c r="DK61" s="428">
        <v>0</v>
      </c>
      <c r="DL61" s="428">
        <v>0</v>
      </c>
      <c r="DM61" s="428">
        <v>0</v>
      </c>
      <c r="DN61" s="428">
        <v>0</v>
      </c>
      <c r="DO61" s="428">
        <v>0</v>
      </c>
      <c r="DP61" s="428">
        <v>0</v>
      </c>
      <c r="DQ61" s="428">
        <v>0</v>
      </c>
      <c r="DR61" s="428">
        <v>0</v>
      </c>
      <c r="DS61" s="428">
        <v>0</v>
      </c>
      <c r="DT61" s="428">
        <v>0</v>
      </c>
      <c r="DU61" s="428">
        <v>0</v>
      </c>
      <c r="DV61" s="428">
        <v>0</v>
      </c>
      <c r="ED61" s="135"/>
      <c r="EE61" s="357" t="s">
        <v>645</v>
      </c>
      <c r="EF61" s="426" t="s">
        <v>777</v>
      </c>
      <c r="EG61" s="426">
        <v>2</v>
      </c>
      <c r="EH61" s="426">
        <v>33</v>
      </c>
      <c r="EI61" s="208" t="str">
        <f t="shared" si="2"/>
        <v>CLX200233</v>
      </c>
      <c r="EJ61" s="426">
        <v>328.6</v>
      </c>
      <c r="EK61" s="426">
        <v>657.2</v>
      </c>
      <c r="EL61" s="426">
        <v>985.8</v>
      </c>
      <c r="EM61" s="426">
        <v>1314.4</v>
      </c>
      <c r="EN61" s="426">
        <v>1643</v>
      </c>
      <c r="EO61" s="426">
        <v>1971.6</v>
      </c>
      <c r="EP61" s="426">
        <v>2300.1999999999998</v>
      </c>
      <c r="EQ61" s="426">
        <v>2628.8</v>
      </c>
      <c r="ER61" s="426">
        <v>2957.4</v>
      </c>
      <c r="ES61" s="426">
        <v>3286</v>
      </c>
      <c r="ET61" s="426">
        <v>3614.6</v>
      </c>
      <c r="EU61" s="426">
        <v>3943.2</v>
      </c>
      <c r="EV61" s="426">
        <v>4271.8</v>
      </c>
      <c r="EW61" s="426">
        <v>4600.3999999999996</v>
      </c>
      <c r="EX61" s="426">
        <v>4929</v>
      </c>
      <c r="EY61" s="426">
        <v>5257.6</v>
      </c>
      <c r="EZ61" s="426">
        <v>5586.2</v>
      </c>
      <c r="FA61" s="426">
        <v>5914.8</v>
      </c>
      <c r="FB61" s="426">
        <v>6243.4</v>
      </c>
      <c r="FC61" s="426">
        <v>6572</v>
      </c>
      <c r="FD61" s="426">
        <v>6572</v>
      </c>
      <c r="FE61" s="426">
        <v>6572</v>
      </c>
      <c r="FF61" s="426">
        <v>6572</v>
      </c>
      <c r="FG61" s="426">
        <v>6572</v>
      </c>
      <c r="FH61" s="426">
        <v>6572</v>
      </c>
      <c r="FI61" s="426">
        <v>6572</v>
      </c>
      <c r="FJ61" s="426">
        <v>6572</v>
      </c>
      <c r="FK61" s="426">
        <v>6572</v>
      </c>
      <c r="FL61" s="426">
        <v>6572</v>
      </c>
      <c r="FM61" s="426">
        <v>6572</v>
      </c>
      <c r="FN61" s="426">
        <v>6572</v>
      </c>
      <c r="FO61" s="426">
        <v>6572</v>
      </c>
      <c r="FP61" s="426">
        <v>6572</v>
      </c>
      <c r="FQ61" s="426">
        <v>6572</v>
      </c>
      <c r="FR61" s="426">
        <v>6572</v>
      </c>
      <c r="FS61" s="426">
        <v>6572</v>
      </c>
      <c r="FT61" s="426">
        <v>6572</v>
      </c>
      <c r="FU61" s="426">
        <v>6572</v>
      </c>
      <c r="FV61" s="426">
        <v>6572</v>
      </c>
      <c r="FW61" s="426">
        <v>6572</v>
      </c>
      <c r="FX61" s="426">
        <v>6572</v>
      </c>
      <c r="FY61" s="426">
        <v>6572</v>
      </c>
      <c r="FZ61" s="426">
        <v>6572</v>
      </c>
      <c r="GA61" s="426">
        <v>6572</v>
      </c>
      <c r="GB61" s="426">
        <v>6572</v>
      </c>
      <c r="GC61" s="426">
        <v>6572</v>
      </c>
      <c r="GD61" s="426">
        <v>6572</v>
      </c>
      <c r="GE61" s="426">
        <v>6572</v>
      </c>
      <c r="GF61" s="426">
        <v>6572</v>
      </c>
      <c r="GG61" s="426">
        <v>6572</v>
      </c>
      <c r="GH61" s="426">
        <v>6572</v>
      </c>
      <c r="GI61" s="426">
        <v>6572</v>
      </c>
      <c r="GJ61" s="426">
        <v>6572</v>
      </c>
      <c r="GK61" s="426">
        <v>6572</v>
      </c>
      <c r="GL61" s="426">
        <v>6572</v>
      </c>
      <c r="GM61" s="426">
        <v>6572</v>
      </c>
      <c r="GN61" s="426">
        <v>6572</v>
      </c>
      <c r="GO61" s="426">
        <v>0</v>
      </c>
      <c r="GP61" s="426">
        <v>0</v>
      </c>
      <c r="GQ61" s="426">
        <v>0</v>
      </c>
      <c r="GR61" s="426">
        <v>0</v>
      </c>
      <c r="GS61" s="426">
        <v>0</v>
      </c>
      <c r="GT61" s="426">
        <v>0</v>
      </c>
      <c r="GU61" s="426">
        <v>0</v>
      </c>
      <c r="GV61" s="426">
        <v>0</v>
      </c>
      <c r="GW61" s="426">
        <v>0</v>
      </c>
      <c r="GX61" s="426">
        <v>0</v>
      </c>
      <c r="GY61" s="426">
        <v>0</v>
      </c>
      <c r="GZ61" s="426">
        <v>0</v>
      </c>
      <c r="HA61" s="426">
        <v>0</v>
      </c>
      <c r="HB61" s="426">
        <v>0</v>
      </c>
      <c r="HC61" s="426">
        <v>0</v>
      </c>
      <c r="HD61" s="426">
        <v>0</v>
      </c>
      <c r="HE61" s="426">
        <v>0</v>
      </c>
      <c r="HF61" s="426">
        <v>0</v>
      </c>
      <c r="HG61" s="426">
        <v>0</v>
      </c>
      <c r="HH61" s="426">
        <v>0</v>
      </c>
      <c r="HI61" s="426">
        <v>0</v>
      </c>
      <c r="HJ61" s="426">
        <v>0</v>
      </c>
      <c r="HK61" s="426">
        <v>0</v>
      </c>
      <c r="HL61" s="426">
        <v>0</v>
      </c>
      <c r="HM61" s="426">
        <v>0</v>
      </c>
      <c r="HN61" s="426">
        <v>0</v>
      </c>
      <c r="HO61" s="426">
        <v>0</v>
      </c>
      <c r="HP61" s="426">
        <v>0</v>
      </c>
      <c r="HQ61" s="426">
        <v>0</v>
      </c>
      <c r="HR61" s="426">
        <v>0</v>
      </c>
      <c r="HS61" s="426">
        <v>0</v>
      </c>
      <c r="HT61" s="426">
        <v>0</v>
      </c>
      <c r="HU61" s="426">
        <v>0</v>
      </c>
      <c r="HV61" s="426">
        <v>0</v>
      </c>
      <c r="HW61" s="426">
        <v>0</v>
      </c>
      <c r="HX61" s="426">
        <v>0</v>
      </c>
      <c r="HY61" s="426">
        <v>0</v>
      </c>
      <c r="HZ61" s="426">
        <v>0</v>
      </c>
      <c r="IA61" s="426">
        <v>0</v>
      </c>
      <c r="IB61" s="426">
        <v>0</v>
      </c>
      <c r="IC61" s="426">
        <v>0</v>
      </c>
      <c r="ID61" s="426">
        <v>0</v>
      </c>
      <c r="IE61" s="426">
        <v>0</v>
      </c>
      <c r="IF61" s="426">
        <v>0</v>
      </c>
      <c r="IG61" s="426">
        <v>0</v>
      </c>
      <c r="IH61" s="426">
        <v>0</v>
      </c>
      <c r="II61" s="426">
        <v>0</v>
      </c>
      <c r="IJ61" s="426">
        <v>0</v>
      </c>
      <c r="IK61" s="426">
        <v>0</v>
      </c>
      <c r="IL61" s="426">
        <v>0</v>
      </c>
      <c r="IM61" s="426">
        <v>0</v>
      </c>
      <c r="IN61" s="426">
        <v>0</v>
      </c>
      <c r="IO61" s="426">
        <v>0</v>
      </c>
      <c r="IP61" s="426">
        <v>0</v>
      </c>
    </row>
    <row r="62" spans="1:250" ht="15">
      <c r="A62" s="357" t="s">
        <v>645</v>
      </c>
      <c r="B62" s="427" t="s">
        <v>777</v>
      </c>
      <c r="C62" s="427"/>
      <c r="D62" s="427"/>
      <c r="E62" s="427"/>
      <c r="F62" s="427">
        <v>2</v>
      </c>
      <c r="G62" s="427"/>
      <c r="H62" s="427">
        <v>34</v>
      </c>
      <c r="I62" s="427"/>
      <c r="J62" t="str">
        <f t="shared" si="0"/>
        <v>CLX200234</v>
      </c>
      <c r="K62" s="427">
        <v>315</v>
      </c>
      <c r="R62" s="357" t="s">
        <v>645</v>
      </c>
      <c r="S62" s="428" t="s">
        <v>777</v>
      </c>
      <c r="T62" s="428">
        <v>2</v>
      </c>
      <c r="U62" s="428">
        <v>34</v>
      </c>
      <c r="V62" s="208" t="str">
        <f t="shared" si="1"/>
        <v>CLX200234</v>
      </c>
      <c r="W62" s="428">
        <v>0</v>
      </c>
      <c r="X62" s="428">
        <v>0</v>
      </c>
      <c r="Y62" s="428">
        <v>0</v>
      </c>
      <c r="Z62" s="428">
        <v>0</v>
      </c>
      <c r="AA62" s="428">
        <v>0</v>
      </c>
      <c r="AB62" s="428">
        <v>0</v>
      </c>
      <c r="AC62" s="428">
        <v>0</v>
      </c>
      <c r="AD62" s="428">
        <v>0</v>
      </c>
      <c r="AE62" s="428">
        <v>0</v>
      </c>
      <c r="AF62" s="428">
        <v>0</v>
      </c>
      <c r="AG62" s="428">
        <v>0</v>
      </c>
      <c r="AH62" s="428">
        <v>0</v>
      </c>
      <c r="AI62" s="428">
        <v>0</v>
      </c>
      <c r="AJ62" s="428">
        <v>0</v>
      </c>
      <c r="AK62" s="428">
        <v>0</v>
      </c>
      <c r="AL62" s="428">
        <v>0</v>
      </c>
      <c r="AM62" s="428">
        <v>0</v>
      </c>
      <c r="AN62" s="428">
        <v>0</v>
      </c>
      <c r="AO62" s="428">
        <v>0</v>
      </c>
      <c r="AP62" s="428">
        <v>0</v>
      </c>
      <c r="AQ62" s="428">
        <v>0</v>
      </c>
      <c r="AR62" s="428">
        <v>0</v>
      </c>
      <c r="AS62" s="428">
        <v>0</v>
      </c>
      <c r="AT62" s="428">
        <v>0</v>
      </c>
      <c r="AU62" s="428">
        <v>0</v>
      </c>
      <c r="AV62" s="428">
        <v>0</v>
      </c>
      <c r="AW62" s="428">
        <v>0</v>
      </c>
      <c r="AX62" s="428">
        <v>0</v>
      </c>
      <c r="AY62" s="428">
        <v>0</v>
      </c>
      <c r="AZ62" s="428">
        <v>0</v>
      </c>
      <c r="BA62" s="428">
        <v>0</v>
      </c>
      <c r="BB62" s="428">
        <v>0</v>
      </c>
      <c r="BC62" s="428">
        <v>0</v>
      </c>
      <c r="BD62" s="428">
        <v>0</v>
      </c>
      <c r="BE62" s="428">
        <v>0</v>
      </c>
      <c r="BF62" s="428">
        <v>0</v>
      </c>
      <c r="BG62" s="428">
        <v>0</v>
      </c>
      <c r="BH62" s="428">
        <v>0</v>
      </c>
      <c r="BI62" s="428">
        <v>0</v>
      </c>
      <c r="BJ62" s="428">
        <v>0</v>
      </c>
      <c r="BK62" s="428">
        <v>0</v>
      </c>
      <c r="BL62" s="428">
        <v>0</v>
      </c>
      <c r="BM62" s="428">
        <v>0</v>
      </c>
      <c r="BN62" s="428">
        <v>0</v>
      </c>
      <c r="BO62" s="428">
        <v>0</v>
      </c>
      <c r="BP62" s="428">
        <v>0</v>
      </c>
      <c r="BQ62" s="428">
        <v>0</v>
      </c>
      <c r="BR62" s="428">
        <v>0</v>
      </c>
      <c r="BS62" s="428">
        <v>0</v>
      </c>
      <c r="BT62" s="428">
        <v>0</v>
      </c>
      <c r="BU62" s="428">
        <v>0</v>
      </c>
      <c r="BV62" s="428">
        <v>0</v>
      </c>
      <c r="BW62" s="428">
        <v>0</v>
      </c>
      <c r="BX62" s="428">
        <v>0</v>
      </c>
      <c r="BY62" s="428">
        <v>0</v>
      </c>
      <c r="BZ62" s="428">
        <v>6678.0000000000009</v>
      </c>
      <c r="CA62" s="428">
        <v>0</v>
      </c>
      <c r="CB62" s="428">
        <v>0</v>
      </c>
      <c r="CC62" s="428">
        <v>0</v>
      </c>
      <c r="CD62" s="428">
        <v>0</v>
      </c>
      <c r="CE62" s="428">
        <v>0</v>
      </c>
      <c r="CF62" s="428">
        <v>0</v>
      </c>
      <c r="CG62" s="428">
        <v>0</v>
      </c>
      <c r="CH62" s="428">
        <v>0</v>
      </c>
      <c r="CI62" s="428">
        <v>0</v>
      </c>
      <c r="CJ62" s="428">
        <v>0</v>
      </c>
      <c r="CK62" s="428">
        <v>0</v>
      </c>
      <c r="CL62" s="428">
        <v>0</v>
      </c>
      <c r="CM62" s="428">
        <v>0</v>
      </c>
      <c r="CN62" s="428">
        <v>0</v>
      </c>
      <c r="CO62" s="428">
        <v>0</v>
      </c>
      <c r="CP62" s="428">
        <v>0</v>
      </c>
      <c r="CQ62" s="428">
        <v>0</v>
      </c>
      <c r="CR62" s="428">
        <v>0</v>
      </c>
      <c r="CS62" s="428">
        <v>0</v>
      </c>
      <c r="CT62" s="428">
        <v>0</v>
      </c>
      <c r="CU62" s="428">
        <v>0</v>
      </c>
      <c r="CV62" s="428">
        <v>0</v>
      </c>
      <c r="CW62" s="428">
        <v>0</v>
      </c>
      <c r="CX62" s="428">
        <v>0</v>
      </c>
      <c r="CY62" s="428">
        <v>0</v>
      </c>
      <c r="CZ62" s="428">
        <v>0</v>
      </c>
      <c r="DA62" s="428">
        <v>0</v>
      </c>
      <c r="DB62" s="428">
        <v>0</v>
      </c>
      <c r="DC62" s="428">
        <v>0</v>
      </c>
      <c r="DD62" s="428">
        <v>0</v>
      </c>
      <c r="DE62" s="428">
        <v>0</v>
      </c>
      <c r="DF62" s="428">
        <v>0</v>
      </c>
      <c r="DG62" s="428">
        <v>0</v>
      </c>
      <c r="DH62" s="428">
        <v>0</v>
      </c>
      <c r="DI62" s="428">
        <v>0</v>
      </c>
      <c r="DJ62" s="428">
        <v>0</v>
      </c>
      <c r="DK62" s="428">
        <v>0</v>
      </c>
      <c r="DL62" s="428">
        <v>0</v>
      </c>
      <c r="DM62" s="428">
        <v>0</v>
      </c>
      <c r="DN62" s="428">
        <v>0</v>
      </c>
      <c r="DO62" s="428">
        <v>0</v>
      </c>
      <c r="DP62" s="428">
        <v>0</v>
      </c>
      <c r="DQ62" s="428">
        <v>0</v>
      </c>
      <c r="DR62" s="428">
        <v>0</v>
      </c>
      <c r="DS62" s="428">
        <v>0</v>
      </c>
      <c r="DT62" s="428">
        <v>0</v>
      </c>
      <c r="DU62" s="428">
        <v>0</v>
      </c>
      <c r="DV62" s="428">
        <v>0</v>
      </c>
      <c r="ED62" s="135"/>
      <c r="EE62" s="357" t="s">
        <v>645</v>
      </c>
      <c r="EF62" s="426" t="s">
        <v>777</v>
      </c>
      <c r="EG62" s="426">
        <v>2</v>
      </c>
      <c r="EH62" s="426">
        <v>34</v>
      </c>
      <c r="EI62" s="208" t="str">
        <f t="shared" si="2"/>
        <v>CLX200234</v>
      </c>
      <c r="EJ62" s="426">
        <v>333.9</v>
      </c>
      <c r="EK62" s="426">
        <v>667.8</v>
      </c>
      <c r="EL62" s="426">
        <v>1001.7</v>
      </c>
      <c r="EM62" s="426">
        <v>1335.6</v>
      </c>
      <c r="EN62" s="426">
        <v>1669.5</v>
      </c>
      <c r="EO62" s="426">
        <v>2003.4</v>
      </c>
      <c r="EP62" s="426">
        <v>2337.3000000000002</v>
      </c>
      <c r="EQ62" s="426">
        <v>2671.2</v>
      </c>
      <c r="ER62" s="426">
        <v>3005.1</v>
      </c>
      <c r="ES62" s="426">
        <v>3339</v>
      </c>
      <c r="ET62" s="426">
        <v>3672.9</v>
      </c>
      <c r="EU62" s="426">
        <v>4006.8</v>
      </c>
      <c r="EV62" s="426">
        <v>4340.7</v>
      </c>
      <c r="EW62" s="426">
        <v>4674.6000000000004</v>
      </c>
      <c r="EX62" s="426">
        <v>5008.5</v>
      </c>
      <c r="EY62" s="426">
        <v>5342.4</v>
      </c>
      <c r="EZ62" s="426">
        <v>5676.3</v>
      </c>
      <c r="FA62" s="426">
        <v>6010.2</v>
      </c>
      <c r="FB62" s="426">
        <v>6344.1</v>
      </c>
      <c r="FC62" s="426">
        <v>6678</v>
      </c>
      <c r="FD62" s="426">
        <v>6678</v>
      </c>
      <c r="FE62" s="426">
        <v>6678</v>
      </c>
      <c r="FF62" s="426">
        <v>6678</v>
      </c>
      <c r="FG62" s="426">
        <v>6678</v>
      </c>
      <c r="FH62" s="426">
        <v>6678</v>
      </c>
      <c r="FI62" s="426">
        <v>6678</v>
      </c>
      <c r="FJ62" s="426">
        <v>6678</v>
      </c>
      <c r="FK62" s="426">
        <v>6678</v>
      </c>
      <c r="FL62" s="426">
        <v>6678</v>
      </c>
      <c r="FM62" s="426">
        <v>6678</v>
      </c>
      <c r="FN62" s="426">
        <v>6678</v>
      </c>
      <c r="FO62" s="426">
        <v>6678</v>
      </c>
      <c r="FP62" s="426">
        <v>6678</v>
      </c>
      <c r="FQ62" s="426">
        <v>6678</v>
      </c>
      <c r="FR62" s="426">
        <v>6678</v>
      </c>
      <c r="FS62" s="426">
        <v>6678</v>
      </c>
      <c r="FT62" s="426">
        <v>6678</v>
      </c>
      <c r="FU62" s="426">
        <v>6678</v>
      </c>
      <c r="FV62" s="426">
        <v>6678</v>
      </c>
      <c r="FW62" s="426">
        <v>6678</v>
      </c>
      <c r="FX62" s="426">
        <v>6678</v>
      </c>
      <c r="FY62" s="426">
        <v>6678</v>
      </c>
      <c r="FZ62" s="426">
        <v>6678</v>
      </c>
      <c r="GA62" s="426">
        <v>6678</v>
      </c>
      <c r="GB62" s="426">
        <v>6678</v>
      </c>
      <c r="GC62" s="426">
        <v>6678</v>
      </c>
      <c r="GD62" s="426">
        <v>6678</v>
      </c>
      <c r="GE62" s="426">
        <v>6678</v>
      </c>
      <c r="GF62" s="426">
        <v>6678</v>
      </c>
      <c r="GG62" s="426">
        <v>6678</v>
      </c>
      <c r="GH62" s="426">
        <v>6678</v>
      </c>
      <c r="GI62" s="426">
        <v>6678</v>
      </c>
      <c r="GJ62" s="426">
        <v>6678</v>
      </c>
      <c r="GK62" s="426">
        <v>6678</v>
      </c>
      <c r="GL62" s="426">
        <v>6678</v>
      </c>
      <c r="GM62" s="426">
        <v>6678</v>
      </c>
      <c r="GN62" s="426">
        <v>0</v>
      </c>
      <c r="GO62" s="426">
        <v>0</v>
      </c>
      <c r="GP62" s="426">
        <v>0</v>
      </c>
      <c r="GQ62" s="426">
        <v>0</v>
      </c>
      <c r="GR62" s="426">
        <v>0</v>
      </c>
      <c r="GS62" s="426">
        <v>0</v>
      </c>
      <c r="GT62" s="426">
        <v>0</v>
      </c>
      <c r="GU62" s="426">
        <v>0</v>
      </c>
      <c r="GV62" s="426">
        <v>0</v>
      </c>
      <c r="GW62" s="426">
        <v>0</v>
      </c>
      <c r="GX62" s="426">
        <v>0</v>
      </c>
      <c r="GY62" s="426">
        <v>0</v>
      </c>
      <c r="GZ62" s="426">
        <v>0</v>
      </c>
      <c r="HA62" s="426">
        <v>0</v>
      </c>
      <c r="HB62" s="426">
        <v>0</v>
      </c>
      <c r="HC62" s="426">
        <v>0</v>
      </c>
      <c r="HD62" s="426">
        <v>0</v>
      </c>
      <c r="HE62" s="426">
        <v>0</v>
      </c>
      <c r="HF62" s="426">
        <v>0</v>
      </c>
      <c r="HG62" s="426">
        <v>0</v>
      </c>
      <c r="HH62" s="426">
        <v>0</v>
      </c>
      <c r="HI62" s="426">
        <v>0</v>
      </c>
      <c r="HJ62" s="426">
        <v>0</v>
      </c>
      <c r="HK62" s="426">
        <v>0</v>
      </c>
      <c r="HL62" s="426">
        <v>0</v>
      </c>
      <c r="HM62" s="426">
        <v>0</v>
      </c>
      <c r="HN62" s="426">
        <v>0</v>
      </c>
      <c r="HO62" s="426">
        <v>0</v>
      </c>
      <c r="HP62" s="426">
        <v>0</v>
      </c>
      <c r="HQ62" s="426">
        <v>0</v>
      </c>
      <c r="HR62" s="426">
        <v>0</v>
      </c>
      <c r="HS62" s="426">
        <v>0</v>
      </c>
      <c r="HT62" s="426">
        <v>0</v>
      </c>
      <c r="HU62" s="426">
        <v>0</v>
      </c>
      <c r="HV62" s="426">
        <v>0</v>
      </c>
      <c r="HW62" s="426">
        <v>0</v>
      </c>
      <c r="HX62" s="426">
        <v>0</v>
      </c>
      <c r="HY62" s="426">
        <v>0</v>
      </c>
      <c r="HZ62" s="426">
        <v>0</v>
      </c>
      <c r="IA62" s="426">
        <v>0</v>
      </c>
      <c r="IB62" s="426">
        <v>0</v>
      </c>
      <c r="IC62" s="426">
        <v>0</v>
      </c>
      <c r="ID62" s="426">
        <v>0</v>
      </c>
      <c r="IE62" s="426">
        <v>0</v>
      </c>
      <c r="IF62" s="426">
        <v>0</v>
      </c>
      <c r="IG62" s="426">
        <v>0</v>
      </c>
      <c r="IH62" s="426">
        <v>0</v>
      </c>
      <c r="II62" s="426">
        <v>0</v>
      </c>
      <c r="IJ62" s="426">
        <v>0</v>
      </c>
      <c r="IK62" s="426">
        <v>0</v>
      </c>
      <c r="IL62" s="426">
        <v>0</v>
      </c>
      <c r="IM62" s="426">
        <v>0</v>
      </c>
      <c r="IN62" s="426">
        <v>0</v>
      </c>
      <c r="IO62" s="426">
        <v>0</v>
      </c>
      <c r="IP62" s="426">
        <v>0</v>
      </c>
    </row>
    <row r="63" spans="1:250" ht="15">
      <c r="A63" s="357" t="s">
        <v>645</v>
      </c>
      <c r="B63" s="427" t="s">
        <v>777</v>
      </c>
      <c r="C63" s="427"/>
      <c r="D63" s="427"/>
      <c r="E63" s="427"/>
      <c r="F63" s="427">
        <v>2</v>
      </c>
      <c r="G63" s="427"/>
      <c r="H63" s="427">
        <v>35</v>
      </c>
      <c r="I63" s="427"/>
      <c r="J63" t="str">
        <f t="shared" si="0"/>
        <v>CLX200235</v>
      </c>
      <c r="K63" s="427">
        <v>325</v>
      </c>
      <c r="R63" s="357" t="s">
        <v>645</v>
      </c>
      <c r="S63" s="428" t="s">
        <v>777</v>
      </c>
      <c r="T63" s="428">
        <v>2</v>
      </c>
      <c r="U63" s="428">
        <v>35</v>
      </c>
      <c r="V63" s="208" t="str">
        <f t="shared" si="1"/>
        <v>CLX200235</v>
      </c>
      <c r="W63" s="428">
        <v>0</v>
      </c>
      <c r="X63" s="428">
        <v>0</v>
      </c>
      <c r="Y63" s="428">
        <v>0</v>
      </c>
      <c r="Z63" s="428">
        <v>0</v>
      </c>
      <c r="AA63" s="428">
        <v>0</v>
      </c>
      <c r="AB63" s="428">
        <v>0</v>
      </c>
      <c r="AC63" s="428">
        <v>0</v>
      </c>
      <c r="AD63" s="428">
        <v>0</v>
      </c>
      <c r="AE63" s="428">
        <v>0</v>
      </c>
      <c r="AF63" s="428">
        <v>0</v>
      </c>
      <c r="AG63" s="428">
        <v>0</v>
      </c>
      <c r="AH63" s="428">
        <v>0</v>
      </c>
      <c r="AI63" s="428">
        <v>0</v>
      </c>
      <c r="AJ63" s="428">
        <v>0</v>
      </c>
      <c r="AK63" s="428">
        <v>0</v>
      </c>
      <c r="AL63" s="428">
        <v>0</v>
      </c>
      <c r="AM63" s="428">
        <v>0</v>
      </c>
      <c r="AN63" s="428">
        <v>0</v>
      </c>
      <c r="AO63" s="428">
        <v>0</v>
      </c>
      <c r="AP63" s="428">
        <v>0</v>
      </c>
      <c r="AQ63" s="428">
        <v>0</v>
      </c>
      <c r="AR63" s="428">
        <v>0</v>
      </c>
      <c r="AS63" s="428">
        <v>0</v>
      </c>
      <c r="AT63" s="428">
        <v>0</v>
      </c>
      <c r="AU63" s="428">
        <v>0</v>
      </c>
      <c r="AV63" s="428">
        <v>0</v>
      </c>
      <c r="AW63" s="428">
        <v>0</v>
      </c>
      <c r="AX63" s="428">
        <v>0</v>
      </c>
      <c r="AY63" s="428">
        <v>0</v>
      </c>
      <c r="AZ63" s="428">
        <v>0</v>
      </c>
      <c r="BA63" s="428">
        <v>0</v>
      </c>
      <c r="BB63" s="428">
        <v>0</v>
      </c>
      <c r="BC63" s="428">
        <v>0</v>
      </c>
      <c r="BD63" s="428">
        <v>0</v>
      </c>
      <c r="BE63" s="428">
        <v>0</v>
      </c>
      <c r="BF63" s="428">
        <v>0</v>
      </c>
      <c r="BG63" s="428">
        <v>0</v>
      </c>
      <c r="BH63" s="428">
        <v>0</v>
      </c>
      <c r="BI63" s="428">
        <v>0</v>
      </c>
      <c r="BJ63" s="428">
        <v>0</v>
      </c>
      <c r="BK63" s="428">
        <v>0</v>
      </c>
      <c r="BL63" s="428">
        <v>0</v>
      </c>
      <c r="BM63" s="428">
        <v>0</v>
      </c>
      <c r="BN63" s="428">
        <v>0</v>
      </c>
      <c r="BO63" s="428">
        <v>0</v>
      </c>
      <c r="BP63" s="428">
        <v>0</v>
      </c>
      <c r="BQ63" s="428">
        <v>0</v>
      </c>
      <c r="BR63" s="428">
        <v>0</v>
      </c>
      <c r="BS63" s="428">
        <v>0</v>
      </c>
      <c r="BT63" s="428">
        <v>0</v>
      </c>
      <c r="BU63" s="428">
        <v>0</v>
      </c>
      <c r="BV63" s="428">
        <v>0</v>
      </c>
      <c r="BW63" s="428">
        <v>0</v>
      </c>
      <c r="BX63" s="428">
        <v>0</v>
      </c>
      <c r="BY63" s="428">
        <v>6890</v>
      </c>
      <c r="BZ63" s="428">
        <v>0</v>
      </c>
      <c r="CA63" s="428">
        <v>0</v>
      </c>
      <c r="CB63" s="428">
        <v>0</v>
      </c>
      <c r="CC63" s="428">
        <v>0</v>
      </c>
      <c r="CD63" s="428">
        <v>0</v>
      </c>
      <c r="CE63" s="428">
        <v>0</v>
      </c>
      <c r="CF63" s="428">
        <v>0</v>
      </c>
      <c r="CG63" s="428">
        <v>0</v>
      </c>
      <c r="CH63" s="428">
        <v>0</v>
      </c>
      <c r="CI63" s="428">
        <v>0</v>
      </c>
      <c r="CJ63" s="428">
        <v>0</v>
      </c>
      <c r="CK63" s="428">
        <v>0</v>
      </c>
      <c r="CL63" s="428">
        <v>0</v>
      </c>
      <c r="CM63" s="428">
        <v>0</v>
      </c>
      <c r="CN63" s="428">
        <v>0</v>
      </c>
      <c r="CO63" s="428">
        <v>0</v>
      </c>
      <c r="CP63" s="428">
        <v>0</v>
      </c>
      <c r="CQ63" s="428">
        <v>0</v>
      </c>
      <c r="CR63" s="428">
        <v>0</v>
      </c>
      <c r="CS63" s="428">
        <v>0</v>
      </c>
      <c r="CT63" s="428">
        <v>0</v>
      </c>
      <c r="CU63" s="428">
        <v>0</v>
      </c>
      <c r="CV63" s="428">
        <v>0</v>
      </c>
      <c r="CW63" s="428">
        <v>0</v>
      </c>
      <c r="CX63" s="428">
        <v>0</v>
      </c>
      <c r="CY63" s="428">
        <v>0</v>
      </c>
      <c r="CZ63" s="428">
        <v>0</v>
      </c>
      <c r="DA63" s="428">
        <v>0</v>
      </c>
      <c r="DB63" s="428">
        <v>0</v>
      </c>
      <c r="DC63" s="428">
        <v>0</v>
      </c>
      <c r="DD63" s="428">
        <v>0</v>
      </c>
      <c r="DE63" s="428">
        <v>0</v>
      </c>
      <c r="DF63" s="428">
        <v>0</v>
      </c>
      <c r="DG63" s="428">
        <v>0</v>
      </c>
      <c r="DH63" s="428">
        <v>0</v>
      </c>
      <c r="DI63" s="428">
        <v>0</v>
      </c>
      <c r="DJ63" s="428">
        <v>0</v>
      </c>
      <c r="DK63" s="428">
        <v>0</v>
      </c>
      <c r="DL63" s="428">
        <v>0</v>
      </c>
      <c r="DM63" s="428">
        <v>0</v>
      </c>
      <c r="DN63" s="428">
        <v>0</v>
      </c>
      <c r="DO63" s="428">
        <v>0</v>
      </c>
      <c r="DP63" s="428">
        <v>0</v>
      </c>
      <c r="DQ63" s="428">
        <v>0</v>
      </c>
      <c r="DR63" s="428">
        <v>0</v>
      </c>
      <c r="DS63" s="428">
        <v>0</v>
      </c>
      <c r="DT63" s="428">
        <v>0</v>
      </c>
      <c r="DU63" s="428">
        <v>0</v>
      </c>
      <c r="DV63" s="428">
        <v>0</v>
      </c>
      <c r="ED63" s="135"/>
      <c r="EE63" s="357" t="s">
        <v>645</v>
      </c>
      <c r="EF63" s="426" t="s">
        <v>777</v>
      </c>
      <c r="EG63" s="426">
        <v>2</v>
      </c>
      <c r="EH63" s="426">
        <v>35</v>
      </c>
      <c r="EI63" s="208" t="str">
        <f t="shared" si="2"/>
        <v>CLX200235</v>
      </c>
      <c r="EJ63" s="426">
        <v>344.5</v>
      </c>
      <c r="EK63" s="426">
        <v>689</v>
      </c>
      <c r="EL63" s="426">
        <v>1033.5</v>
      </c>
      <c r="EM63" s="426">
        <v>1378</v>
      </c>
      <c r="EN63" s="426">
        <v>1722.5</v>
      </c>
      <c r="EO63" s="426">
        <v>2067</v>
      </c>
      <c r="EP63" s="426">
        <v>2411.5</v>
      </c>
      <c r="EQ63" s="426">
        <v>2756</v>
      </c>
      <c r="ER63" s="426">
        <v>3100.5</v>
      </c>
      <c r="ES63" s="426">
        <v>3445</v>
      </c>
      <c r="ET63" s="426">
        <v>3789.5</v>
      </c>
      <c r="EU63" s="426">
        <v>4134</v>
      </c>
      <c r="EV63" s="426">
        <v>4478.5</v>
      </c>
      <c r="EW63" s="426">
        <v>4823</v>
      </c>
      <c r="EX63" s="426">
        <v>5167.5</v>
      </c>
      <c r="EY63" s="426">
        <v>5512</v>
      </c>
      <c r="EZ63" s="426">
        <v>5856.5</v>
      </c>
      <c r="FA63" s="426">
        <v>6201</v>
      </c>
      <c r="FB63" s="426">
        <v>6545.5</v>
      </c>
      <c r="FC63" s="426">
        <v>6890</v>
      </c>
      <c r="FD63" s="426">
        <v>6890</v>
      </c>
      <c r="FE63" s="426">
        <v>6890</v>
      </c>
      <c r="FF63" s="426">
        <v>6890</v>
      </c>
      <c r="FG63" s="426">
        <v>6890</v>
      </c>
      <c r="FH63" s="426">
        <v>6890</v>
      </c>
      <c r="FI63" s="426">
        <v>6890</v>
      </c>
      <c r="FJ63" s="426">
        <v>6890</v>
      </c>
      <c r="FK63" s="426">
        <v>6890</v>
      </c>
      <c r="FL63" s="426">
        <v>6890</v>
      </c>
      <c r="FM63" s="426">
        <v>6890</v>
      </c>
      <c r="FN63" s="426">
        <v>6890</v>
      </c>
      <c r="FO63" s="426">
        <v>6890</v>
      </c>
      <c r="FP63" s="426">
        <v>6890</v>
      </c>
      <c r="FQ63" s="426">
        <v>6890</v>
      </c>
      <c r="FR63" s="426">
        <v>6890</v>
      </c>
      <c r="FS63" s="426">
        <v>6890</v>
      </c>
      <c r="FT63" s="426">
        <v>6890</v>
      </c>
      <c r="FU63" s="426">
        <v>6890</v>
      </c>
      <c r="FV63" s="426">
        <v>6890</v>
      </c>
      <c r="FW63" s="426">
        <v>6890</v>
      </c>
      <c r="FX63" s="426">
        <v>6890</v>
      </c>
      <c r="FY63" s="426">
        <v>6890</v>
      </c>
      <c r="FZ63" s="426">
        <v>6890</v>
      </c>
      <c r="GA63" s="426">
        <v>6890</v>
      </c>
      <c r="GB63" s="426">
        <v>6890</v>
      </c>
      <c r="GC63" s="426">
        <v>6890</v>
      </c>
      <c r="GD63" s="426">
        <v>6890</v>
      </c>
      <c r="GE63" s="426">
        <v>6890</v>
      </c>
      <c r="GF63" s="426">
        <v>6890</v>
      </c>
      <c r="GG63" s="426">
        <v>6890</v>
      </c>
      <c r="GH63" s="426">
        <v>6890</v>
      </c>
      <c r="GI63" s="426">
        <v>6890</v>
      </c>
      <c r="GJ63" s="426">
        <v>6890</v>
      </c>
      <c r="GK63" s="426">
        <v>6890</v>
      </c>
      <c r="GL63" s="426">
        <v>6890</v>
      </c>
      <c r="GM63" s="426">
        <v>0</v>
      </c>
      <c r="GN63" s="426">
        <v>0</v>
      </c>
      <c r="GO63" s="426">
        <v>0</v>
      </c>
      <c r="GP63" s="426">
        <v>0</v>
      </c>
      <c r="GQ63" s="426">
        <v>0</v>
      </c>
      <c r="GR63" s="426">
        <v>0</v>
      </c>
      <c r="GS63" s="426">
        <v>0</v>
      </c>
      <c r="GT63" s="426">
        <v>0</v>
      </c>
      <c r="GU63" s="426">
        <v>0</v>
      </c>
      <c r="GV63" s="426">
        <v>0</v>
      </c>
      <c r="GW63" s="426">
        <v>0</v>
      </c>
      <c r="GX63" s="426">
        <v>0</v>
      </c>
      <c r="GY63" s="426">
        <v>0</v>
      </c>
      <c r="GZ63" s="426">
        <v>0</v>
      </c>
      <c r="HA63" s="426">
        <v>0</v>
      </c>
      <c r="HB63" s="426">
        <v>0</v>
      </c>
      <c r="HC63" s="426">
        <v>0</v>
      </c>
      <c r="HD63" s="426">
        <v>0</v>
      </c>
      <c r="HE63" s="426">
        <v>0</v>
      </c>
      <c r="HF63" s="426">
        <v>0</v>
      </c>
      <c r="HG63" s="426">
        <v>0</v>
      </c>
      <c r="HH63" s="426">
        <v>0</v>
      </c>
      <c r="HI63" s="426">
        <v>0</v>
      </c>
      <c r="HJ63" s="426">
        <v>0</v>
      </c>
      <c r="HK63" s="426">
        <v>0</v>
      </c>
      <c r="HL63" s="426">
        <v>0</v>
      </c>
      <c r="HM63" s="426">
        <v>0</v>
      </c>
      <c r="HN63" s="426">
        <v>0</v>
      </c>
      <c r="HO63" s="426">
        <v>0</v>
      </c>
      <c r="HP63" s="426">
        <v>0</v>
      </c>
      <c r="HQ63" s="426">
        <v>0</v>
      </c>
      <c r="HR63" s="426">
        <v>0</v>
      </c>
      <c r="HS63" s="426">
        <v>0</v>
      </c>
      <c r="HT63" s="426">
        <v>0</v>
      </c>
      <c r="HU63" s="426">
        <v>0</v>
      </c>
      <c r="HV63" s="426">
        <v>0</v>
      </c>
      <c r="HW63" s="426">
        <v>0</v>
      </c>
      <c r="HX63" s="426">
        <v>0</v>
      </c>
      <c r="HY63" s="426">
        <v>0</v>
      </c>
      <c r="HZ63" s="426">
        <v>0</v>
      </c>
      <c r="IA63" s="426">
        <v>0</v>
      </c>
      <c r="IB63" s="426">
        <v>0</v>
      </c>
      <c r="IC63" s="426">
        <v>0</v>
      </c>
      <c r="ID63" s="426">
        <v>0</v>
      </c>
      <c r="IE63" s="426">
        <v>0</v>
      </c>
      <c r="IF63" s="426">
        <v>0</v>
      </c>
      <c r="IG63" s="426">
        <v>0</v>
      </c>
      <c r="IH63" s="426">
        <v>0</v>
      </c>
      <c r="II63" s="426">
        <v>0</v>
      </c>
      <c r="IJ63" s="426">
        <v>0</v>
      </c>
      <c r="IK63" s="426">
        <v>0</v>
      </c>
      <c r="IL63" s="426">
        <v>0</v>
      </c>
      <c r="IM63" s="426">
        <v>0</v>
      </c>
      <c r="IN63" s="426">
        <v>0</v>
      </c>
      <c r="IO63" s="426">
        <v>0</v>
      </c>
      <c r="IP63" s="426">
        <v>0</v>
      </c>
    </row>
    <row r="64" spans="1:250" ht="15">
      <c r="A64" s="357" t="s">
        <v>645</v>
      </c>
      <c r="B64" s="427" t="s">
        <v>777</v>
      </c>
      <c r="C64" s="427"/>
      <c r="D64" s="427"/>
      <c r="E64" s="427"/>
      <c r="F64" s="427">
        <v>2</v>
      </c>
      <c r="G64" s="427"/>
      <c r="H64" s="427">
        <v>36</v>
      </c>
      <c r="I64" s="427"/>
      <c r="J64" t="str">
        <f t="shared" si="0"/>
        <v>CLX200236</v>
      </c>
      <c r="K64" s="427">
        <v>330</v>
      </c>
      <c r="R64" s="357" t="s">
        <v>645</v>
      </c>
      <c r="S64" s="428" t="s">
        <v>777</v>
      </c>
      <c r="T64" s="428">
        <v>2</v>
      </c>
      <c r="U64" s="428">
        <v>36</v>
      </c>
      <c r="V64" s="208" t="str">
        <f t="shared" si="1"/>
        <v>CLX200236</v>
      </c>
      <c r="W64" s="428">
        <v>0</v>
      </c>
      <c r="X64" s="428">
        <v>0</v>
      </c>
      <c r="Y64" s="428">
        <v>0</v>
      </c>
      <c r="Z64" s="428">
        <v>0</v>
      </c>
      <c r="AA64" s="428">
        <v>0</v>
      </c>
      <c r="AB64" s="428">
        <v>0</v>
      </c>
      <c r="AC64" s="428">
        <v>0</v>
      </c>
      <c r="AD64" s="428">
        <v>0</v>
      </c>
      <c r="AE64" s="428">
        <v>0</v>
      </c>
      <c r="AF64" s="428">
        <v>0</v>
      </c>
      <c r="AG64" s="428">
        <v>0</v>
      </c>
      <c r="AH64" s="428">
        <v>0</v>
      </c>
      <c r="AI64" s="428">
        <v>0</v>
      </c>
      <c r="AJ64" s="428">
        <v>0</v>
      </c>
      <c r="AK64" s="428">
        <v>0</v>
      </c>
      <c r="AL64" s="428">
        <v>0</v>
      </c>
      <c r="AM64" s="428">
        <v>0</v>
      </c>
      <c r="AN64" s="428">
        <v>0</v>
      </c>
      <c r="AO64" s="428">
        <v>0</v>
      </c>
      <c r="AP64" s="428">
        <v>0</v>
      </c>
      <c r="AQ64" s="428">
        <v>0</v>
      </c>
      <c r="AR64" s="428">
        <v>0</v>
      </c>
      <c r="AS64" s="428">
        <v>0</v>
      </c>
      <c r="AT64" s="428">
        <v>0</v>
      </c>
      <c r="AU64" s="428">
        <v>0</v>
      </c>
      <c r="AV64" s="428">
        <v>0</v>
      </c>
      <c r="AW64" s="428">
        <v>0</v>
      </c>
      <c r="AX64" s="428">
        <v>0</v>
      </c>
      <c r="AY64" s="428">
        <v>0</v>
      </c>
      <c r="AZ64" s="428">
        <v>0</v>
      </c>
      <c r="BA64" s="428">
        <v>0</v>
      </c>
      <c r="BB64" s="428">
        <v>0</v>
      </c>
      <c r="BC64" s="428">
        <v>0</v>
      </c>
      <c r="BD64" s="428">
        <v>0</v>
      </c>
      <c r="BE64" s="428">
        <v>0</v>
      </c>
      <c r="BF64" s="428">
        <v>0</v>
      </c>
      <c r="BG64" s="428">
        <v>0</v>
      </c>
      <c r="BH64" s="428">
        <v>0</v>
      </c>
      <c r="BI64" s="428">
        <v>0</v>
      </c>
      <c r="BJ64" s="428">
        <v>0</v>
      </c>
      <c r="BK64" s="428">
        <v>0</v>
      </c>
      <c r="BL64" s="428">
        <v>0</v>
      </c>
      <c r="BM64" s="428">
        <v>0</v>
      </c>
      <c r="BN64" s="428">
        <v>0</v>
      </c>
      <c r="BO64" s="428">
        <v>0</v>
      </c>
      <c r="BP64" s="428">
        <v>0</v>
      </c>
      <c r="BQ64" s="428">
        <v>0</v>
      </c>
      <c r="BR64" s="428">
        <v>0</v>
      </c>
      <c r="BS64" s="428">
        <v>0</v>
      </c>
      <c r="BT64" s="428">
        <v>0</v>
      </c>
      <c r="BU64" s="428">
        <v>0</v>
      </c>
      <c r="BV64" s="428">
        <v>0</v>
      </c>
      <c r="BW64" s="428">
        <v>0</v>
      </c>
      <c r="BX64" s="428">
        <v>6996</v>
      </c>
      <c r="BY64" s="428">
        <v>0</v>
      </c>
      <c r="BZ64" s="428">
        <v>0</v>
      </c>
      <c r="CA64" s="428">
        <v>0</v>
      </c>
      <c r="CB64" s="428">
        <v>0</v>
      </c>
      <c r="CC64" s="428">
        <v>0</v>
      </c>
      <c r="CD64" s="428">
        <v>0</v>
      </c>
      <c r="CE64" s="428">
        <v>0</v>
      </c>
      <c r="CF64" s="428">
        <v>0</v>
      </c>
      <c r="CG64" s="428">
        <v>0</v>
      </c>
      <c r="CH64" s="428">
        <v>0</v>
      </c>
      <c r="CI64" s="428">
        <v>0</v>
      </c>
      <c r="CJ64" s="428">
        <v>0</v>
      </c>
      <c r="CK64" s="428">
        <v>0</v>
      </c>
      <c r="CL64" s="428">
        <v>0</v>
      </c>
      <c r="CM64" s="428">
        <v>0</v>
      </c>
      <c r="CN64" s="428">
        <v>0</v>
      </c>
      <c r="CO64" s="428">
        <v>0</v>
      </c>
      <c r="CP64" s="428">
        <v>0</v>
      </c>
      <c r="CQ64" s="428">
        <v>0</v>
      </c>
      <c r="CR64" s="428">
        <v>0</v>
      </c>
      <c r="CS64" s="428">
        <v>0</v>
      </c>
      <c r="CT64" s="428">
        <v>0</v>
      </c>
      <c r="CU64" s="428">
        <v>0</v>
      </c>
      <c r="CV64" s="428">
        <v>0</v>
      </c>
      <c r="CW64" s="428">
        <v>0</v>
      </c>
      <c r="CX64" s="428">
        <v>0</v>
      </c>
      <c r="CY64" s="428">
        <v>0</v>
      </c>
      <c r="CZ64" s="428">
        <v>0</v>
      </c>
      <c r="DA64" s="428">
        <v>0</v>
      </c>
      <c r="DB64" s="428">
        <v>0</v>
      </c>
      <c r="DC64" s="428">
        <v>0</v>
      </c>
      <c r="DD64" s="428">
        <v>0</v>
      </c>
      <c r="DE64" s="428">
        <v>0</v>
      </c>
      <c r="DF64" s="428">
        <v>0</v>
      </c>
      <c r="DG64" s="428">
        <v>0</v>
      </c>
      <c r="DH64" s="428">
        <v>0</v>
      </c>
      <c r="DI64" s="428">
        <v>0</v>
      </c>
      <c r="DJ64" s="428">
        <v>0</v>
      </c>
      <c r="DK64" s="428">
        <v>0</v>
      </c>
      <c r="DL64" s="428">
        <v>0</v>
      </c>
      <c r="DM64" s="428">
        <v>0</v>
      </c>
      <c r="DN64" s="428">
        <v>0</v>
      </c>
      <c r="DO64" s="428">
        <v>0</v>
      </c>
      <c r="DP64" s="428">
        <v>0</v>
      </c>
      <c r="DQ64" s="428">
        <v>0</v>
      </c>
      <c r="DR64" s="428">
        <v>0</v>
      </c>
      <c r="DS64" s="428">
        <v>0</v>
      </c>
      <c r="DT64" s="428">
        <v>0</v>
      </c>
      <c r="DU64" s="428">
        <v>0</v>
      </c>
      <c r="DV64" s="428">
        <v>0</v>
      </c>
      <c r="ED64" s="135"/>
      <c r="EE64" s="357" t="s">
        <v>645</v>
      </c>
      <c r="EF64" s="426" t="s">
        <v>777</v>
      </c>
      <c r="EG64" s="426">
        <v>2</v>
      </c>
      <c r="EH64" s="426">
        <v>36</v>
      </c>
      <c r="EI64" s="208" t="str">
        <f t="shared" si="2"/>
        <v>CLX200236</v>
      </c>
      <c r="EJ64" s="426">
        <v>349.8</v>
      </c>
      <c r="EK64" s="426">
        <v>699.6</v>
      </c>
      <c r="EL64" s="426">
        <v>1049.4000000000001</v>
      </c>
      <c r="EM64" s="426">
        <v>1399.2</v>
      </c>
      <c r="EN64" s="426">
        <v>1749</v>
      </c>
      <c r="EO64" s="426">
        <v>2098.8000000000002</v>
      </c>
      <c r="EP64" s="426">
        <v>2448.6</v>
      </c>
      <c r="EQ64" s="426">
        <v>2798.4</v>
      </c>
      <c r="ER64" s="426">
        <v>3148.2</v>
      </c>
      <c r="ES64" s="426">
        <v>3498</v>
      </c>
      <c r="ET64" s="426">
        <v>3847.8</v>
      </c>
      <c r="EU64" s="426">
        <v>4197.6000000000004</v>
      </c>
      <c r="EV64" s="426">
        <v>4547.3999999999996</v>
      </c>
      <c r="EW64" s="426">
        <v>4897.2</v>
      </c>
      <c r="EX64" s="426">
        <v>5247</v>
      </c>
      <c r="EY64" s="426">
        <v>5596.8</v>
      </c>
      <c r="EZ64" s="426">
        <v>5946.6</v>
      </c>
      <c r="FA64" s="426">
        <v>6296.4</v>
      </c>
      <c r="FB64" s="426">
        <v>6646.2</v>
      </c>
      <c r="FC64" s="426">
        <v>6996</v>
      </c>
      <c r="FD64" s="426">
        <v>6996</v>
      </c>
      <c r="FE64" s="426">
        <v>6996</v>
      </c>
      <c r="FF64" s="426">
        <v>6996</v>
      </c>
      <c r="FG64" s="426">
        <v>6996</v>
      </c>
      <c r="FH64" s="426">
        <v>6996</v>
      </c>
      <c r="FI64" s="426">
        <v>6996</v>
      </c>
      <c r="FJ64" s="426">
        <v>6996</v>
      </c>
      <c r="FK64" s="426">
        <v>6996</v>
      </c>
      <c r="FL64" s="426">
        <v>6996</v>
      </c>
      <c r="FM64" s="426">
        <v>6996</v>
      </c>
      <c r="FN64" s="426">
        <v>6996</v>
      </c>
      <c r="FO64" s="426">
        <v>6996</v>
      </c>
      <c r="FP64" s="426">
        <v>6996</v>
      </c>
      <c r="FQ64" s="426">
        <v>6996</v>
      </c>
      <c r="FR64" s="426">
        <v>6996</v>
      </c>
      <c r="FS64" s="426">
        <v>6996</v>
      </c>
      <c r="FT64" s="426">
        <v>6996</v>
      </c>
      <c r="FU64" s="426">
        <v>6996</v>
      </c>
      <c r="FV64" s="426">
        <v>6996</v>
      </c>
      <c r="FW64" s="426">
        <v>6996</v>
      </c>
      <c r="FX64" s="426">
        <v>6996</v>
      </c>
      <c r="FY64" s="426">
        <v>6996</v>
      </c>
      <c r="FZ64" s="426">
        <v>6996</v>
      </c>
      <c r="GA64" s="426">
        <v>6996</v>
      </c>
      <c r="GB64" s="426">
        <v>6996</v>
      </c>
      <c r="GC64" s="426">
        <v>6996</v>
      </c>
      <c r="GD64" s="426">
        <v>6996</v>
      </c>
      <c r="GE64" s="426">
        <v>6996</v>
      </c>
      <c r="GF64" s="426">
        <v>6996</v>
      </c>
      <c r="GG64" s="426">
        <v>6996</v>
      </c>
      <c r="GH64" s="426">
        <v>6996</v>
      </c>
      <c r="GI64" s="426">
        <v>6996</v>
      </c>
      <c r="GJ64" s="426">
        <v>6996</v>
      </c>
      <c r="GK64" s="426">
        <v>6996</v>
      </c>
      <c r="GL64" s="426">
        <v>0</v>
      </c>
      <c r="GM64" s="426">
        <v>0</v>
      </c>
      <c r="GN64" s="426">
        <v>0</v>
      </c>
      <c r="GO64" s="426">
        <v>0</v>
      </c>
      <c r="GP64" s="426">
        <v>0</v>
      </c>
      <c r="GQ64" s="426">
        <v>0</v>
      </c>
      <c r="GR64" s="426">
        <v>0</v>
      </c>
      <c r="GS64" s="426">
        <v>0</v>
      </c>
      <c r="GT64" s="426">
        <v>0</v>
      </c>
      <c r="GU64" s="426">
        <v>0</v>
      </c>
      <c r="GV64" s="426">
        <v>0</v>
      </c>
      <c r="GW64" s="426">
        <v>0</v>
      </c>
      <c r="GX64" s="426">
        <v>0</v>
      </c>
      <c r="GY64" s="426">
        <v>0</v>
      </c>
      <c r="GZ64" s="426">
        <v>0</v>
      </c>
      <c r="HA64" s="426">
        <v>0</v>
      </c>
      <c r="HB64" s="426">
        <v>0</v>
      </c>
      <c r="HC64" s="426">
        <v>0</v>
      </c>
      <c r="HD64" s="426">
        <v>0</v>
      </c>
      <c r="HE64" s="426">
        <v>0</v>
      </c>
      <c r="HF64" s="426">
        <v>0</v>
      </c>
      <c r="HG64" s="426">
        <v>0</v>
      </c>
      <c r="HH64" s="426">
        <v>0</v>
      </c>
      <c r="HI64" s="426">
        <v>0</v>
      </c>
      <c r="HJ64" s="426">
        <v>0</v>
      </c>
      <c r="HK64" s="426">
        <v>0</v>
      </c>
      <c r="HL64" s="426">
        <v>0</v>
      </c>
      <c r="HM64" s="426">
        <v>0</v>
      </c>
      <c r="HN64" s="426">
        <v>0</v>
      </c>
      <c r="HO64" s="426">
        <v>0</v>
      </c>
      <c r="HP64" s="426">
        <v>0</v>
      </c>
      <c r="HQ64" s="426">
        <v>0</v>
      </c>
      <c r="HR64" s="426">
        <v>0</v>
      </c>
      <c r="HS64" s="426">
        <v>0</v>
      </c>
      <c r="HT64" s="426">
        <v>0</v>
      </c>
      <c r="HU64" s="426">
        <v>0</v>
      </c>
      <c r="HV64" s="426">
        <v>0</v>
      </c>
      <c r="HW64" s="426">
        <v>0</v>
      </c>
      <c r="HX64" s="426">
        <v>0</v>
      </c>
      <c r="HY64" s="426">
        <v>0</v>
      </c>
      <c r="HZ64" s="426">
        <v>0</v>
      </c>
      <c r="IA64" s="426">
        <v>0</v>
      </c>
      <c r="IB64" s="426">
        <v>0</v>
      </c>
      <c r="IC64" s="426">
        <v>0</v>
      </c>
      <c r="ID64" s="426">
        <v>0</v>
      </c>
      <c r="IE64" s="426">
        <v>0</v>
      </c>
      <c r="IF64" s="426">
        <v>0</v>
      </c>
      <c r="IG64" s="426">
        <v>0</v>
      </c>
      <c r="IH64" s="426">
        <v>0</v>
      </c>
      <c r="II64" s="426">
        <v>0</v>
      </c>
      <c r="IJ64" s="426">
        <v>0</v>
      </c>
      <c r="IK64" s="426">
        <v>0</v>
      </c>
      <c r="IL64" s="426">
        <v>0</v>
      </c>
      <c r="IM64" s="426">
        <v>0</v>
      </c>
      <c r="IN64" s="426">
        <v>0</v>
      </c>
      <c r="IO64" s="426">
        <v>0</v>
      </c>
      <c r="IP64" s="426">
        <v>0</v>
      </c>
    </row>
    <row r="65" spans="1:250" ht="15">
      <c r="A65" s="357" t="s">
        <v>645</v>
      </c>
      <c r="B65" s="427" t="s">
        <v>777</v>
      </c>
      <c r="C65" s="427"/>
      <c r="D65" s="427"/>
      <c r="E65" s="427"/>
      <c r="F65" s="427">
        <v>2</v>
      </c>
      <c r="G65" s="427"/>
      <c r="H65" s="427">
        <v>37</v>
      </c>
      <c r="I65" s="427"/>
      <c r="J65" t="str">
        <f t="shared" si="0"/>
        <v>CLX200237</v>
      </c>
      <c r="K65" s="427">
        <v>335</v>
      </c>
      <c r="R65" s="357" t="s">
        <v>645</v>
      </c>
      <c r="S65" s="428" t="s">
        <v>777</v>
      </c>
      <c r="T65" s="428">
        <v>2</v>
      </c>
      <c r="U65" s="428">
        <v>37</v>
      </c>
      <c r="V65" s="208" t="str">
        <f t="shared" si="1"/>
        <v>CLX200237</v>
      </c>
      <c r="W65" s="428">
        <v>0</v>
      </c>
      <c r="X65" s="428">
        <v>0</v>
      </c>
      <c r="Y65" s="428">
        <v>0</v>
      </c>
      <c r="Z65" s="428">
        <v>0</v>
      </c>
      <c r="AA65" s="428">
        <v>0</v>
      </c>
      <c r="AB65" s="428">
        <v>0</v>
      </c>
      <c r="AC65" s="428">
        <v>0</v>
      </c>
      <c r="AD65" s="428">
        <v>0</v>
      </c>
      <c r="AE65" s="428">
        <v>0</v>
      </c>
      <c r="AF65" s="428">
        <v>0</v>
      </c>
      <c r="AG65" s="428">
        <v>0</v>
      </c>
      <c r="AH65" s="428">
        <v>0</v>
      </c>
      <c r="AI65" s="428">
        <v>0</v>
      </c>
      <c r="AJ65" s="428">
        <v>0</v>
      </c>
      <c r="AK65" s="428">
        <v>0</v>
      </c>
      <c r="AL65" s="428">
        <v>0</v>
      </c>
      <c r="AM65" s="428">
        <v>0</v>
      </c>
      <c r="AN65" s="428">
        <v>0</v>
      </c>
      <c r="AO65" s="428">
        <v>0</v>
      </c>
      <c r="AP65" s="428">
        <v>0</v>
      </c>
      <c r="AQ65" s="428">
        <v>0</v>
      </c>
      <c r="AR65" s="428">
        <v>0</v>
      </c>
      <c r="AS65" s="428">
        <v>0</v>
      </c>
      <c r="AT65" s="428">
        <v>0</v>
      </c>
      <c r="AU65" s="428">
        <v>0</v>
      </c>
      <c r="AV65" s="428">
        <v>0</v>
      </c>
      <c r="AW65" s="428">
        <v>0</v>
      </c>
      <c r="AX65" s="428">
        <v>0</v>
      </c>
      <c r="AY65" s="428">
        <v>0</v>
      </c>
      <c r="AZ65" s="428">
        <v>0</v>
      </c>
      <c r="BA65" s="428">
        <v>0</v>
      </c>
      <c r="BB65" s="428">
        <v>0</v>
      </c>
      <c r="BC65" s="428">
        <v>0</v>
      </c>
      <c r="BD65" s="428">
        <v>0</v>
      </c>
      <c r="BE65" s="428">
        <v>0</v>
      </c>
      <c r="BF65" s="428">
        <v>0</v>
      </c>
      <c r="BG65" s="428">
        <v>0</v>
      </c>
      <c r="BH65" s="428">
        <v>0</v>
      </c>
      <c r="BI65" s="428">
        <v>0</v>
      </c>
      <c r="BJ65" s="428">
        <v>0</v>
      </c>
      <c r="BK65" s="428">
        <v>0</v>
      </c>
      <c r="BL65" s="428">
        <v>0</v>
      </c>
      <c r="BM65" s="428">
        <v>0</v>
      </c>
      <c r="BN65" s="428">
        <v>0</v>
      </c>
      <c r="BO65" s="428">
        <v>0</v>
      </c>
      <c r="BP65" s="428">
        <v>0</v>
      </c>
      <c r="BQ65" s="428">
        <v>0</v>
      </c>
      <c r="BR65" s="428">
        <v>0</v>
      </c>
      <c r="BS65" s="428">
        <v>0</v>
      </c>
      <c r="BT65" s="428">
        <v>0</v>
      </c>
      <c r="BU65" s="428">
        <v>0</v>
      </c>
      <c r="BV65" s="428">
        <v>0</v>
      </c>
      <c r="BW65" s="428">
        <v>7102</v>
      </c>
      <c r="BX65" s="428">
        <v>0</v>
      </c>
      <c r="BY65" s="428">
        <v>0</v>
      </c>
      <c r="BZ65" s="428">
        <v>0</v>
      </c>
      <c r="CA65" s="428">
        <v>0</v>
      </c>
      <c r="CB65" s="428">
        <v>0</v>
      </c>
      <c r="CC65" s="428">
        <v>0</v>
      </c>
      <c r="CD65" s="428">
        <v>0</v>
      </c>
      <c r="CE65" s="428">
        <v>0</v>
      </c>
      <c r="CF65" s="428">
        <v>0</v>
      </c>
      <c r="CG65" s="428">
        <v>0</v>
      </c>
      <c r="CH65" s="428">
        <v>0</v>
      </c>
      <c r="CI65" s="428">
        <v>0</v>
      </c>
      <c r="CJ65" s="428">
        <v>0</v>
      </c>
      <c r="CK65" s="428">
        <v>0</v>
      </c>
      <c r="CL65" s="428">
        <v>0</v>
      </c>
      <c r="CM65" s="428">
        <v>0</v>
      </c>
      <c r="CN65" s="428">
        <v>0</v>
      </c>
      <c r="CO65" s="428">
        <v>0</v>
      </c>
      <c r="CP65" s="428">
        <v>0</v>
      </c>
      <c r="CQ65" s="428">
        <v>0</v>
      </c>
      <c r="CR65" s="428">
        <v>0</v>
      </c>
      <c r="CS65" s="428">
        <v>0</v>
      </c>
      <c r="CT65" s="428">
        <v>0</v>
      </c>
      <c r="CU65" s="428">
        <v>0</v>
      </c>
      <c r="CV65" s="428">
        <v>0</v>
      </c>
      <c r="CW65" s="428">
        <v>0</v>
      </c>
      <c r="CX65" s="428">
        <v>0</v>
      </c>
      <c r="CY65" s="428">
        <v>0</v>
      </c>
      <c r="CZ65" s="428">
        <v>0</v>
      </c>
      <c r="DA65" s="428">
        <v>0</v>
      </c>
      <c r="DB65" s="428">
        <v>0</v>
      </c>
      <c r="DC65" s="428">
        <v>0</v>
      </c>
      <c r="DD65" s="428">
        <v>0</v>
      </c>
      <c r="DE65" s="428">
        <v>0</v>
      </c>
      <c r="DF65" s="428">
        <v>0</v>
      </c>
      <c r="DG65" s="428">
        <v>0</v>
      </c>
      <c r="DH65" s="428">
        <v>0</v>
      </c>
      <c r="DI65" s="428">
        <v>0</v>
      </c>
      <c r="DJ65" s="428">
        <v>0</v>
      </c>
      <c r="DK65" s="428">
        <v>0</v>
      </c>
      <c r="DL65" s="428">
        <v>0</v>
      </c>
      <c r="DM65" s="428">
        <v>0</v>
      </c>
      <c r="DN65" s="428">
        <v>0</v>
      </c>
      <c r="DO65" s="428">
        <v>0</v>
      </c>
      <c r="DP65" s="428">
        <v>0</v>
      </c>
      <c r="DQ65" s="428">
        <v>0</v>
      </c>
      <c r="DR65" s="428">
        <v>0</v>
      </c>
      <c r="DS65" s="428">
        <v>0</v>
      </c>
      <c r="DT65" s="428">
        <v>0</v>
      </c>
      <c r="DU65" s="428">
        <v>0</v>
      </c>
      <c r="DV65" s="428">
        <v>0</v>
      </c>
      <c r="ED65" s="135"/>
      <c r="EE65" s="357" t="s">
        <v>645</v>
      </c>
      <c r="EF65" s="426" t="s">
        <v>777</v>
      </c>
      <c r="EG65" s="426">
        <v>2</v>
      </c>
      <c r="EH65" s="426">
        <v>37</v>
      </c>
      <c r="EI65" s="208" t="str">
        <f t="shared" si="2"/>
        <v>CLX200237</v>
      </c>
      <c r="EJ65" s="426">
        <v>355.1</v>
      </c>
      <c r="EK65" s="426">
        <v>710.2</v>
      </c>
      <c r="EL65" s="426">
        <v>1065.3</v>
      </c>
      <c r="EM65" s="426">
        <v>1420.4</v>
      </c>
      <c r="EN65" s="426">
        <v>1775.5</v>
      </c>
      <c r="EO65" s="426">
        <v>2130.6</v>
      </c>
      <c r="EP65" s="426">
        <v>2485.6999999999998</v>
      </c>
      <c r="EQ65" s="426">
        <v>2840.8</v>
      </c>
      <c r="ER65" s="426">
        <v>3195.9</v>
      </c>
      <c r="ES65" s="426">
        <v>3551</v>
      </c>
      <c r="ET65" s="426">
        <v>3906.1</v>
      </c>
      <c r="EU65" s="426">
        <v>4261.2</v>
      </c>
      <c r="EV65" s="426">
        <v>4616.3</v>
      </c>
      <c r="EW65" s="426">
        <v>4971.3999999999996</v>
      </c>
      <c r="EX65" s="426">
        <v>5326.5</v>
      </c>
      <c r="EY65" s="426">
        <v>5681.6</v>
      </c>
      <c r="EZ65" s="426">
        <v>6036.7</v>
      </c>
      <c r="FA65" s="426">
        <v>6391.8</v>
      </c>
      <c r="FB65" s="426">
        <v>6746.9</v>
      </c>
      <c r="FC65" s="426">
        <v>7102</v>
      </c>
      <c r="FD65" s="426">
        <v>7102</v>
      </c>
      <c r="FE65" s="426">
        <v>7102</v>
      </c>
      <c r="FF65" s="426">
        <v>7102</v>
      </c>
      <c r="FG65" s="426">
        <v>7102</v>
      </c>
      <c r="FH65" s="426">
        <v>7102</v>
      </c>
      <c r="FI65" s="426">
        <v>7102</v>
      </c>
      <c r="FJ65" s="426">
        <v>7102</v>
      </c>
      <c r="FK65" s="426">
        <v>7102</v>
      </c>
      <c r="FL65" s="426">
        <v>7102</v>
      </c>
      <c r="FM65" s="426">
        <v>7102</v>
      </c>
      <c r="FN65" s="426">
        <v>7102</v>
      </c>
      <c r="FO65" s="426">
        <v>7102</v>
      </c>
      <c r="FP65" s="426">
        <v>7102</v>
      </c>
      <c r="FQ65" s="426">
        <v>7102</v>
      </c>
      <c r="FR65" s="426">
        <v>7102</v>
      </c>
      <c r="FS65" s="426">
        <v>7102</v>
      </c>
      <c r="FT65" s="426">
        <v>7102</v>
      </c>
      <c r="FU65" s="426">
        <v>7102</v>
      </c>
      <c r="FV65" s="426">
        <v>7102</v>
      </c>
      <c r="FW65" s="426">
        <v>7102</v>
      </c>
      <c r="FX65" s="426">
        <v>7102</v>
      </c>
      <c r="FY65" s="426">
        <v>7102</v>
      </c>
      <c r="FZ65" s="426">
        <v>7102</v>
      </c>
      <c r="GA65" s="426">
        <v>7102</v>
      </c>
      <c r="GB65" s="426">
        <v>7102</v>
      </c>
      <c r="GC65" s="426">
        <v>7102</v>
      </c>
      <c r="GD65" s="426">
        <v>7102</v>
      </c>
      <c r="GE65" s="426">
        <v>7102</v>
      </c>
      <c r="GF65" s="426">
        <v>7102</v>
      </c>
      <c r="GG65" s="426">
        <v>7102</v>
      </c>
      <c r="GH65" s="426">
        <v>7102</v>
      </c>
      <c r="GI65" s="426">
        <v>7102</v>
      </c>
      <c r="GJ65" s="426">
        <v>7102</v>
      </c>
      <c r="GK65" s="426">
        <v>0</v>
      </c>
      <c r="GL65" s="426">
        <v>0</v>
      </c>
      <c r="GM65" s="426">
        <v>0</v>
      </c>
      <c r="GN65" s="426">
        <v>0</v>
      </c>
      <c r="GO65" s="426">
        <v>0</v>
      </c>
      <c r="GP65" s="426">
        <v>0</v>
      </c>
      <c r="GQ65" s="426">
        <v>0</v>
      </c>
      <c r="GR65" s="426">
        <v>0</v>
      </c>
      <c r="GS65" s="426">
        <v>0</v>
      </c>
      <c r="GT65" s="426">
        <v>0</v>
      </c>
      <c r="GU65" s="426">
        <v>0</v>
      </c>
      <c r="GV65" s="426">
        <v>0</v>
      </c>
      <c r="GW65" s="426">
        <v>0</v>
      </c>
      <c r="GX65" s="426">
        <v>0</v>
      </c>
      <c r="GY65" s="426">
        <v>0</v>
      </c>
      <c r="GZ65" s="426">
        <v>0</v>
      </c>
      <c r="HA65" s="426">
        <v>0</v>
      </c>
      <c r="HB65" s="426">
        <v>0</v>
      </c>
      <c r="HC65" s="426">
        <v>0</v>
      </c>
      <c r="HD65" s="426">
        <v>0</v>
      </c>
      <c r="HE65" s="426">
        <v>0</v>
      </c>
      <c r="HF65" s="426">
        <v>0</v>
      </c>
      <c r="HG65" s="426">
        <v>0</v>
      </c>
      <c r="HH65" s="426">
        <v>0</v>
      </c>
      <c r="HI65" s="426">
        <v>0</v>
      </c>
      <c r="HJ65" s="426">
        <v>0</v>
      </c>
      <c r="HK65" s="426">
        <v>0</v>
      </c>
      <c r="HL65" s="426">
        <v>0</v>
      </c>
      <c r="HM65" s="426">
        <v>0</v>
      </c>
      <c r="HN65" s="426">
        <v>0</v>
      </c>
      <c r="HO65" s="426">
        <v>0</v>
      </c>
      <c r="HP65" s="426">
        <v>0</v>
      </c>
      <c r="HQ65" s="426">
        <v>0</v>
      </c>
      <c r="HR65" s="426">
        <v>0</v>
      </c>
      <c r="HS65" s="426">
        <v>0</v>
      </c>
      <c r="HT65" s="426">
        <v>0</v>
      </c>
      <c r="HU65" s="426">
        <v>0</v>
      </c>
      <c r="HV65" s="426">
        <v>0</v>
      </c>
      <c r="HW65" s="426">
        <v>0</v>
      </c>
      <c r="HX65" s="426">
        <v>0</v>
      </c>
      <c r="HY65" s="426">
        <v>0</v>
      </c>
      <c r="HZ65" s="426">
        <v>0</v>
      </c>
      <c r="IA65" s="426">
        <v>0</v>
      </c>
      <c r="IB65" s="426">
        <v>0</v>
      </c>
      <c r="IC65" s="426">
        <v>0</v>
      </c>
      <c r="ID65" s="426">
        <v>0</v>
      </c>
      <c r="IE65" s="426">
        <v>0</v>
      </c>
      <c r="IF65" s="426">
        <v>0</v>
      </c>
      <c r="IG65" s="426">
        <v>0</v>
      </c>
      <c r="IH65" s="426">
        <v>0</v>
      </c>
      <c r="II65" s="426">
        <v>0</v>
      </c>
      <c r="IJ65" s="426">
        <v>0</v>
      </c>
      <c r="IK65" s="426">
        <v>0</v>
      </c>
      <c r="IL65" s="426">
        <v>0</v>
      </c>
      <c r="IM65" s="426">
        <v>0</v>
      </c>
      <c r="IN65" s="426">
        <v>0</v>
      </c>
      <c r="IO65" s="426">
        <v>0</v>
      </c>
      <c r="IP65" s="426">
        <v>0</v>
      </c>
    </row>
    <row r="66" spans="1:250" ht="15">
      <c r="A66" s="357" t="s">
        <v>645</v>
      </c>
      <c r="B66" s="427" t="s">
        <v>777</v>
      </c>
      <c r="C66" s="427"/>
      <c r="D66" s="427"/>
      <c r="E66" s="427"/>
      <c r="F66" s="427">
        <v>2</v>
      </c>
      <c r="G66" s="427"/>
      <c r="H66" s="427">
        <v>38</v>
      </c>
      <c r="I66" s="427"/>
      <c r="J66" t="str">
        <f t="shared" ref="J66:J78" si="3">B66&amp;TEXT(F66,"00")&amp;TEXT(H66,"00")</f>
        <v>CLX200238</v>
      </c>
      <c r="K66" s="427">
        <v>345</v>
      </c>
      <c r="R66" s="357" t="s">
        <v>645</v>
      </c>
      <c r="S66" s="428" t="s">
        <v>777</v>
      </c>
      <c r="T66" s="428">
        <v>2</v>
      </c>
      <c r="U66" s="428">
        <v>38</v>
      </c>
      <c r="V66" s="208" t="str">
        <f t="shared" si="1"/>
        <v>CLX200238</v>
      </c>
      <c r="W66" s="428">
        <v>0</v>
      </c>
      <c r="X66" s="428">
        <v>0</v>
      </c>
      <c r="Y66" s="428">
        <v>0</v>
      </c>
      <c r="Z66" s="428">
        <v>0</v>
      </c>
      <c r="AA66" s="428">
        <v>0</v>
      </c>
      <c r="AB66" s="428">
        <v>0</v>
      </c>
      <c r="AC66" s="428">
        <v>0</v>
      </c>
      <c r="AD66" s="428">
        <v>0</v>
      </c>
      <c r="AE66" s="428">
        <v>0</v>
      </c>
      <c r="AF66" s="428">
        <v>0</v>
      </c>
      <c r="AG66" s="428">
        <v>0</v>
      </c>
      <c r="AH66" s="428">
        <v>0</v>
      </c>
      <c r="AI66" s="428">
        <v>0</v>
      </c>
      <c r="AJ66" s="428">
        <v>0</v>
      </c>
      <c r="AK66" s="428">
        <v>0</v>
      </c>
      <c r="AL66" s="428">
        <v>0</v>
      </c>
      <c r="AM66" s="428">
        <v>0</v>
      </c>
      <c r="AN66" s="428">
        <v>0</v>
      </c>
      <c r="AO66" s="428">
        <v>0</v>
      </c>
      <c r="AP66" s="428">
        <v>0</v>
      </c>
      <c r="AQ66" s="428">
        <v>0</v>
      </c>
      <c r="AR66" s="428">
        <v>0</v>
      </c>
      <c r="AS66" s="428">
        <v>0</v>
      </c>
      <c r="AT66" s="428">
        <v>0</v>
      </c>
      <c r="AU66" s="428">
        <v>0</v>
      </c>
      <c r="AV66" s="428">
        <v>0</v>
      </c>
      <c r="AW66" s="428">
        <v>0</v>
      </c>
      <c r="AX66" s="428">
        <v>0</v>
      </c>
      <c r="AY66" s="428">
        <v>0</v>
      </c>
      <c r="AZ66" s="428">
        <v>0</v>
      </c>
      <c r="BA66" s="428">
        <v>0</v>
      </c>
      <c r="BB66" s="428">
        <v>0</v>
      </c>
      <c r="BC66" s="428">
        <v>0</v>
      </c>
      <c r="BD66" s="428">
        <v>0</v>
      </c>
      <c r="BE66" s="428">
        <v>0</v>
      </c>
      <c r="BF66" s="428">
        <v>0</v>
      </c>
      <c r="BG66" s="428">
        <v>0</v>
      </c>
      <c r="BH66" s="428">
        <v>0</v>
      </c>
      <c r="BI66" s="428">
        <v>0</v>
      </c>
      <c r="BJ66" s="428">
        <v>0</v>
      </c>
      <c r="BK66" s="428">
        <v>0</v>
      </c>
      <c r="BL66" s="428">
        <v>0</v>
      </c>
      <c r="BM66" s="428">
        <v>0</v>
      </c>
      <c r="BN66" s="428">
        <v>0</v>
      </c>
      <c r="BO66" s="428">
        <v>0</v>
      </c>
      <c r="BP66" s="428">
        <v>0</v>
      </c>
      <c r="BQ66" s="428">
        <v>0</v>
      </c>
      <c r="BR66" s="428">
        <v>0</v>
      </c>
      <c r="BS66" s="428">
        <v>0</v>
      </c>
      <c r="BT66" s="428">
        <v>0</v>
      </c>
      <c r="BU66" s="428">
        <v>0</v>
      </c>
      <c r="BV66" s="428">
        <v>7314.0000000000009</v>
      </c>
      <c r="BW66" s="428">
        <v>0</v>
      </c>
      <c r="BX66" s="428">
        <v>0</v>
      </c>
      <c r="BY66" s="428">
        <v>0</v>
      </c>
      <c r="BZ66" s="428">
        <v>0</v>
      </c>
      <c r="CA66" s="428">
        <v>0</v>
      </c>
      <c r="CB66" s="428">
        <v>0</v>
      </c>
      <c r="CC66" s="428">
        <v>0</v>
      </c>
      <c r="CD66" s="428">
        <v>0</v>
      </c>
      <c r="CE66" s="428">
        <v>0</v>
      </c>
      <c r="CF66" s="428">
        <v>0</v>
      </c>
      <c r="CG66" s="428">
        <v>0</v>
      </c>
      <c r="CH66" s="428">
        <v>0</v>
      </c>
      <c r="CI66" s="428">
        <v>0</v>
      </c>
      <c r="CJ66" s="428">
        <v>0</v>
      </c>
      <c r="CK66" s="428">
        <v>0</v>
      </c>
      <c r="CL66" s="428">
        <v>0</v>
      </c>
      <c r="CM66" s="428">
        <v>0</v>
      </c>
      <c r="CN66" s="428">
        <v>0</v>
      </c>
      <c r="CO66" s="428">
        <v>0</v>
      </c>
      <c r="CP66" s="428">
        <v>0</v>
      </c>
      <c r="CQ66" s="428">
        <v>0</v>
      </c>
      <c r="CR66" s="428">
        <v>0</v>
      </c>
      <c r="CS66" s="428">
        <v>0</v>
      </c>
      <c r="CT66" s="428">
        <v>0</v>
      </c>
      <c r="CU66" s="428">
        <v>0</v>
      </c>
      <c r="CV66" s="428">
        <v>0</v>
      </c>
      <c r="CW66" s="428">
        <v>0</v>
      </c>
      <c r="CX66" s="428">
        <v>0</v>
      </c>
      <c r="CY66" s="428">
        <v>0</v>
      </c>
      <c r="CZ66" s="428">
        <v>0</v>
      </c>
      <c r="DA66" s="428">
        <v>0</v>
      </c>
      <c r="DB66" s="428">
        <v>0</v>
      </c>
      <c r="DC66" s="428">
        <v>0</v>
      </c>
      <c r="DD66" s="428">
        <v>0</v>
      </c>
      <c r="DE66" s="428">
        <v>0</v>
      </c>
      <c r="DF66" s="428">
        <v>0</v>
      </c>
      <c r="DG66" s="428">
        <v>0</v>
      </c>
      <c r="DH66" s="428">
        <v>0</v>
      </c>
      <c r="DI66" s="428">
        <v>0</v>
      </c>
      <c r="DJ66" s="428">
        <v>0</v>
      </c>
      <c r="DK66" s="428">
        <v>0</v>
      </c>
      <c r="DL66" s="428">
        <v>0</v>
      </c>
      <c r="DM66" s="428">
        <v>0</v>
      </c>
      <c r="DN66" s="428">
        <v>0</v>
      </c>
      <c r="DO66" s="428">
        <v>0</v>
      </c>
      <c r="DP66" s="428">
        <v>0</v>
      </c>
      <c r="DQ66" s="428">
        <v>0</v>
      </c>
      <c r="DR66" s="428">
        <v>0</v>
      </c>
      <c r="DS66" s="428">
        <v>0</v>
      </c>
      <c r="DT66" s="428">
        <v>0</v>
      </c>
      <c r="DU66" s="428">
        <v>0</v>
      </c>
      <c r="DV66" s="428">
        <v>0</v>
      </c>
      <c r="ED66" s="135"/>
      <c r="EE66" s="357" t="s">
        <v>645</v>
      </c>
      <c r="EF66" s="426" t="s">
        <v>777</v>
      </c>
      <c r="EG66" s="426">
        <v>2</v>
      </c>
      <c r="EH66" s="426">
        <v>38</v>
      </c>
      <c r="EI66" s="208" t="str">
        <f t="shared" si="2"/>
        <v>CLX200238</v>
      </c>
      <c r="EJ66" s="426">
        <v>365.7</v>
      </c>
      <c r="EK66" s="426">
        <v>731.4</v>
      </c>
      <c r="EL66" s="426">
        <v>1097.0999999999999</v>
      </c>
      <c r="EM66" s="426">
        <v>1462.8</v>
      </c>
      <c r="EN66" s="426">
        <v>1828.5</v>
      </c>
      <c r="EO66" s="426">
        <v>2194.1999999999998</v>
      </c>
      <c r="EP66" s="426">
        <v>2559.9</v>
      </c>
      <c r="EQ66" s="426">
        <v>2925.6</v>
      </c>
      <c r="ER66" s="426">
        <v>3291.3</v>
      </c>
      <c r="ES66" s="426">
        <v>3657</v>
      </c>
      <c r="ET66" s="426">
        <v>4022.7</v>
      </c>
      <c r="EU66" s="426">
        <v>4388.3999999999996</v>
      </c>
      <c r="EV66" s="426">
        <v>4754.1000000000004</v>
      </c>
      <c r="EW66" s="426">
        <v>5119.8</v>
      </c>
      <c r="EX66" s="426">
        <v>5485.5</v>
      </c>
      <c r="EY66" s="426">
        <v>5851.2</v>
      </c>
      <c r="EZ66" s="426">
        <v>6216.9</v>
      </c>
      <c r="FA66" s="426">
        <v>6582.6</v>
      </c>
      <c r="FB66" s="426">
        <v>6948.3</v>
      </c>
      <c r="FC66" s="426">
        <v>7314</v>
      </c>
      <c r="FD66" s="426">
        <v>7314</v>
      </c>
      <c r="FE66" s="426">
        <v>7314</v>
      </c>
      <c r="FF66" s="426">
        <v>7314</v>
      </c>
      <c r="FG66" s="426">
        <v>7314</v>
      </c>
      <c r="FH66" s="426">
        <v>7314</v>
      </c>
      <c r="FI66" s="426">
        <v>7314</v>
      </c>
      <c r="FJ66" s="426">
        <v>7314</v>
      </c>
      <c r="FK66" s="426">
        <v>7314</v>
      </c>
      <c r="FL66" s="426">
        <v>7314</v>
      </c>
      <c r="FM66" s="426">
        <v>7314</v>
      </c>
      <c r="FN66" s="426">
        <v>7314</v>
      </c>
      <c r="FO66" s="426">
        <v>7314</v>
      </c>
      <c r="FP66" s="426">
        <v>7314</v>
      </c>
      <c r="FQ66" s="426">
        <v>7314</v>
      </c>
      <c r="FR66" s="426">
        <v>7314</v>
      </c>
      <c r="FS66" s="426">
        <v>7314</v>
      </c>
      <c r="FT66" s="426">
        <v>7314</v>
      </c>
      <c r="FU66" s="426">
        <v>7314</v>
      </c>
      <c r="FV66" s="426">
        <v>7314</v>
      </c>
      <c r="FW66" s="426">
        <v>7314</v>
      </c>
      <c r="FX66" s="426">
        <v>7314</v>
      </c>
      <c r="FY66" s="426">
        <v>7314</v>
      </c>
      <c r="FZ66" s="426">
        <v>7314</v>
      </c>
      <c r="GA66" s="426">
        <v>7314</v>
      </c>
      <c r="GB66" s="426">
        <v>7314</v>
      </c>
      <c r="GC66" s="426">
        <v>7314</v>
      </c>
      <c r="GD66" s="426">
        <v>7314</v>
      </c>
      <c r="GE66" s="426">
        <v>7314</v>
      </c>
      <c r="GF66" s="426">
        <v>7314</v>
      </c>
      <c r="GG66" s="426">
        <v>7314</v>
      </c>
      <c r="GH66" s="426">
        <v>7314</v>
      </c>
      <c r="GI66" s="426">
        <v>7314</v>
      </c>
      <c r="GJ66" s="426">
        <v>0</v>
      </c>
      <c r="GK66" s="426">
        <v>0</v>
      </c>
      <c r="GL66" s="426">
        <v>0</v>
      </c>
      <c r="GM66" s="426">
        <v>0</v>
      </c>
      <c r="GN66" s="426">
        <v>0</v>
      </c>
      <c r="GO66" s="426">
        <v>0</v>
      </c>
      <c r="GP66" s="426">
        <v>0</v>
      </c>
      <c r="GQ66" s="426">
        <v>0</v>
      </c>
      <c r="GR66" s="426">
        <v>0</v>
      </c>
      <c r="GS66" s="426">
        <v>0</v>
      </c>
      <c r="GT66" s="426">
        <v>0</v>
      </c>
      <c r="GU66" s="426">
        <v>0</v>
      </c>
      <c r="GV66" s="426">
        <v>0</v>
      </c>
      <c r="GW66" s="426">
        <v>0</v>
      </c>
      <c r="GX66" s="426">
        <v>0</v>
      </c>
      <c r="GY66" s="426">
        <v>0</v>
      </c>
      <c r="GZ66" s="426">
        <v>0</v>
      </c>
      <c r="HA66" s="426">
        <v>0</v>
      </c>
      <c r="HB66" s="426">
        <v>0</v>
      </c>
      <c r="HC66" s="426">
        <v>0</v>
      </c>
      <c r="HD66" s="426">
        <v>0</v>
      </c>
      <c r="HE66" s="426">
        <v>0</v>
      </c>
      <c r="HF66" s="426">
        <v>0</v>
      </c>
      <c r="HG66" s="426">
        <v>0</v>
      </c>
      <c r="HH66" s="426">
        <v>0</v>
      </c>
      <c r="HI66" s="426">
        <v>0</v>
      </c>
      <c r="HJ66" s="426">
        <v>0</v>
      </c>
      <c r="HK66" s="426">
        <v>0</v>
      </c>
      <c r="HL66" s="426">
        <v>0</v>
      </c>
      <c r="HM66" s="426">
        <v>0</v>
      </c>
      <c r="HN66" s="426">
        <v>0</v>
      </c>
      <c r="HO66" s="426">
        <v>0</v>
      </c>
      <c r="HP66" s="426">
        <v>0</v>
      </c>
      <c r="HQ66" s="426">
        <v>0</v>
      </c>
      <c r="HR66" s="426">
        <v>0</v>
      </c>
      <c r="HS66" s="426">
        <v>0</v>
      </c>
      <c r="HT66" s="426">
        <v>0</v>
      </c>
      <c r="HU66" s="426">
        <v>0</v>
      </c>
      <c r="HV66" s="426">
        <v>0</v>
      </c>
      <c r="HW66" s="426">
        <v>0</v>
      </c>
      <c r="HX66" s="426">
        <v>0</v>
      </c>
      <c r="HY66" s="426">
        <v>0</v>
      </c>
      <c r="HZ66" s="426">
        <v>0</v>
      </c>
      <c r="IA66" s="426">
        <v>0</v>
      </c>
      <c r="IB66" s="426">
        <v>0</v>
      </c>
      <c r="IC66" s="426">
        <v>0</v>
      </c>
      <c r="ID66" s="426">
        <v>0</v>
      </c>
      <c r="IE66" s="426">
        <v>0</v>
      </c>
      <c r="IF66" s="426">
        <v>0</v>
      </c>
      <c r="IG66" s="426">
        <v>0</v>
      </c>
      <c r="IH66" s="426">
        <v>0</v>
      </c>
      <c r="II66" s="426">
        <v>0</v>
      </c>
      <c r="IJ66" s="426">
        <v>0</v>
      </c>
      <c r="IK66" s="426">
        <v>0</v>
      </c>
      <c r="IL66" s="426">
        <v>0</v>
      </c>
      <c r="IM66" s="426">
        <v>0</v>
      </c>
      <c r="IN66" s="426">
        <v>0</v>
      </c>
      <c r="IO66" s="426">
        <v>0</v>
      </c>
      <c r="IP66" s="426">
        <v>0</v>
      </c>
    </row>
    <row r="67" spans="1:250" ht="15">
      <c r="A67" s="357" t="s">
        <v>645</v>
      </c>
      <c r="B67" s="427" t="s">
        <v>777</v>
      </c>
      <c r="C67" s="427"/>
      <c r="D67" s="427"/>
      <c r="E67" s="427"/>
      <c r="F67" s="427">
        <v>2</v>
      </c>
      <c r="G67" s="427"/>
      <c r="H67" s="427">
        <v>39</v>
      </c>
      <c r="I67" s="427"/>
      <c r="J67" t="str">
        <f t="shared" si="3"/>
        <v>CLX200239</v>
      </c>
      <c r="K67" s="427">
        <v>350</v>
      </c>
      <c r="R67" s="357" t="s">
        <v>645</v>
      </c>
      <c r="S67" s="428" t="s">
        <v>777</v>
      </c>
      <c r="T67" s="428">
        <v>2</v>
      </c>
      <c r="U67" s="428">
        <v>39</v>
      </c>
      <c r="V67" s="208" t="str">
        <f t="shared" ref="V67:V78" si="4">S67&amp;TEXT(T67,"00")&amp;TEXT(U67,"00")</f>
        <v>CLX200239</v>
      </c>
      <c r="W67" s="428">
        <v>0</v>
      </c>
      <c r="X67" s="428">
        <v>0</v>
      </c>
      <c r="Y67" s="428">
        <v>0</v>
      </c>
      <c r="Z67" s="428">
        <v>0</v>
      </c>
      <c r="AA67" s="428">
        <v>0</v>
      </c>
      <c r="AB67" s="428">
        <v>0</v>
      </c>
      <c r="AC67" s="428">
        <v>0</v>
      </c>
      <c r="AD67" s="428">
        <v>0</v>
      </c>
      <c r="AE67" s="428">
        <v>0</v>
      </c>
      <c r="AF67" s="428">
        <v>0</v>
      </c>
      <c r="AG67" s="428">
        <v>0</v>
      </c>
      <c r="AH67" s="428">
        <v>0</v>
      </c>
      <c r="AI67" s="428">
        <v>0</v>
      </c>
      <c r="AJ67" s="428">
        <v>0</v>
      </c>
      <c r="AK67" s="428">
        <v>0</v>
      </c>
      <c r="AL67" s="428">
        <v>0</v>
      </c>
      <c r="AM67" s="428">
        <v>0</v>
      </c>
      <c r="AN67" s="428">
        <v>0</v>
      </c>
      <c r="AO67" s="428">
        <v>0</v>
      </c>
      <c r="AP67" s="428">
        <v>0</v>
      </c>
      <c r="AQ67" s="428">
        <v>0</v>
      </c>
      <c r="AR67" s="428">
        <v>0</v>
      </c>
      <c r="AS67" s="428">
        <v>0</v>
      </c>
      <c r="AT67" s="428">
        <v>0</v>
      </c>
      <c r="AU67" s="428">
        <v>0</v>
      </c>
      <c r="AV67" s="428">
        <v>0</v>
      </c>
      <c r="AW67" s="428">
        <v>0</v>
      </c>
      <c r="AX67" s="428">
        <v>0</v>
      </c>
      <c r="AY67" s="428">
        <v>0</v>
      </c>
      <c r="AZ67" s="428">
        <v>0</v>
      </c>
      <c r="BA67" s="428">
        <v>0</v>
      </c>
      <c r="BB67" s="428">
        <v>0</v>
      </c>
      <c r="BC67" s="428">
        <v>0</v>
      </c>
      <c r="BD67" s="428">
        <v>0</v>
      </c>
      <c r="BE67" s="428">
        <v>0</v>
      </c>
      <c r="BF67" s="428">
        <v>0</v>
      </c>
      <c r="BG67" s="428">
        <v>0</v>
      </c>
      <c r="BH67" s="428">
        <v>0</v>
      </c>
      <c r="BI67" s="428">
        <v>0</v>
      </c>
      <c r="BJ67" s="428">
        <v>0</v>
      </c>
      <c r="BK67" s="428">
        <v>0</v>
      </c>
      <c r="BL67" s="428">
        <v>0</v>
      </c>
      <c r="BM67" s="428">
        <v>0</v>
      </c>
      <c r="BN67" s="428">
        <v>0</v>
      </c>
      <c r="BO67" s="428">
        <v>0</v>
      </c>
      <c r="BP67" s="428">
        <v>0</v>
      </c>
      <c r="BQ67" s="428">
        <v>0</v>
      </c>
      <c r="BR67" s="428">
        <v>0</v>
      </c>
      <c r="BS67" s="428">
        <v>0</v>
      </c>
      <c r="BT67" s="428">
        <v>0</v>
      </c>
      <c r="BU67" s="428">
        <v>7420</v>
      </c>
      <c r="BV67" s="428">
        <v>0</v>
      </c>
      <c r="BW67" s="428">
        <v>0</v>
      </c>
      <c r="BX67" s="428">
        <v>0</v>
      </c>
      <c r="BY67" s="428">
        <v>0</v>
      </c>
      <c r="BZ67" s="428">
        <v>0</v>
      </c>
      <c r="CA67" s="428">
        <v>0</v>
      </c>
      <c r="CB67" s="428">
        <v>0</v>
      </c>
      <c r="CC67" s="428">
        <v>0</v>
      </c>
      <c r="CD67" s="428">
        <v>0</v>
      </c>
      <c r="CE67" s="428">
        <v>0</v>
      </c>
      <c r="CF67" s="428">
        <v>0</v>
      </c>
      <c r="CG67" s="428">
        <v>0</v>
      </c>
      <c r="CH67" s="428">
        <v>0</v>
      </c>
      <c r="CI67" s="428">
        <v>0</v>
      </c>
      <c r="CJ67" s="428">
        <v>0</v>
      </c>
      <c r="CK67" s="428">
        <v>0</v>
      </c>
      <c r="CL67" s="428">
        <v>0</v>
      </c>
      <c r="CM67" s="428">
        <v>0</v>
      </c>
      <c r="CN67" s="428">
        <v>0</v>
      </c>
      <c r="CO67" s="428">
        <v>0</v>
      </c>
      <c r="CP67" s="428">
        <v>0</v>
      </c>
      <c r="CQ67" s="428">
        <v>0</v>
      </c>
      <c r="CR67" s="428">
        <v>0</v>
      </c>
      <c r="CS67" s="428">
        <v>0</v>
      </c>
      <c r="CT67" s="428">
        <v>0</v>
      </c>
      <c r="CU67" s="428">
        <v>0</v>
      </c>
      <c r="CV67" s="428">
        <v>0</v>
      </c>
      <c r="CW67" s="428">
        <v>0</v>
      </c>
      <c r="CX67" s="428">
        <v>0</v>
      </c>
      <c r="CY67" s="428">
        <v>0</v>
      </c>
      <c r="CZ67" s="428">
        <v>0</v>
      </c>
      <c r="DA67" s="428">
        <v>0</v>
      </c>
      <c r="DB67" s="428">
        <v>0</v>
      </c>
      <c r="DC67" s="428">
        <v>0</v>
      </c>
      <c r="DD67" s="428">
        <v>0</v>
      </c>
      <c r="DE67" s="428">
        <v>0</v>
      </c>
      <c r="DF67" s="428">
        <v>0</v>
      </c>
      <c r="DG67" s="428">
        <v>0</v>
      </c>
      <c r="DH67" s="428">
        <v>0</v>
      </c>
      <c r="DI67" s="428">
        <v>0</v>
      </c>
      <c r="DJ67" s="428">
        <v>0</v>
      </c>
      <c r="DK67" s="428">
        <v>0</v>
      </c>
      <c r="DL67" s="428">
        <v>0</v>
      </c>
      <c r="DM67" s="428">
        <v>0</v>
      </c>
      <c r="DN67" s="428">
        <v>0</v>
      </c>
      <c r="DO67" s="428">
        <v>0</v>
      </c>
      <c r="DP67" s="428">
        <v>0</v>
      </c>
      <c r="DQ67" s="428">
        <v>0</v>
      </c>
      <c r="DR67" s="428">
        <v>0</v>
      </c>
      <c r="DS67" s="428">
        <v>0</v>
      </c>
      <c r="DT67" s="428">
        <v>0</v>
      </c>
      <c r="DU67" s="428">
        <v>0</v>
      </c>
      <c r="DV67" s="428">
        <v>0</v>
      </c>
      <c r="ED67" s="135"/>
      <c r="EE67" s="357" t="s">
        <v>645</v>
      </c>
      <c r="EF67" s="426" t="s">
        <v>777</v>
      </c>
      <c r="EG67" s="426">
        <v>2</v>
      </c>
      <c r="EH67" s="426">
        <v>39</v>
      </c>
      <c r="EI67" s="208" t="str">
        <f t="shared" ref="EI67:EI78" si="5">EF67&amp;TEXT(EG67,"00")&amp;TEXT(EH67,"00")</f>
        <v>CLX200239</v>
      </c>
      <c r="EJ67" s="426">
        <v>371</v>
      </c>
      <c r="EK67" s="426">
        <v>742</v>
      </c>
      <c r="EL67" s="426">
        <v>1113</v>
      </c>
      <c r="EM67" s="426">
        <v>1484</v>
      </c>
      <c r="EN67" s="426">
        <v>1855</v>
      </c>
      <c r="EO67" s="426">
        <v>2226</v>
      </c>
      <c r="EP67" s="426">
        <v>2597</v>
      </c>
      <c r="EQ67" s="426">
        <v>2968</v>
      </c>
      <c r="ER67" s="426">
        <v>3339</v>
      </c>
      <c r="ES67" s="426">
        <v>3710</v>
      </c>
      <c r="ET67" s="426">
        <v>4081</v>
      </c>
      <c r="EU67" s="426">
        <v>4452</v>
      </c>
      <c r="EV67" s="426">
        <v>4823</v>
      </c>
      <c r="EW67" s="426">
        <v>5194</v>
      </c>
      <c r="EX67" s="426">
        <v>5565</v>
      </c>
      <c r="EY67" s="426">
        <v>5936</v>
      </c>
      <c r="EZ67" s="426">
        <v>6307</v>
      </c>
      <c r="FA67" s="426">
        <v>6678</v>
      </c>
      <c r="FB67" s="426">
        <v>7049</v>
      </c>
      <c r="FC67" s="426">
        <v>7420</v>
      </c>
      <c r="FD67" s="426">
        <v>7420</v>
      </c>
      <c r="FE67" s="426">
        <v>7420</v>
      </c>
      <c r="FF67" s="426">
        <v>7420</v>
      </c>
      <c r="FG67" s="426">
        <v>7420</v>
      </c>
      <c r="FH67" s="426">
        <v>7420</v>
      </c>
      <c r="FI67" s="426">
        <v>7420</v>
      </c>
      <c r="FJ67" s="426">
        <v>7420</v>
      </c>
      <c r="FK67" s="426">
        <v>7420</v>
      </c>
      <c r="FL67" s="426">
        <v>7420</v>
      </c>
      <c r="FM67" s="426">
        <v>7420</v>
      </c>
      <c r="FN67" s="426">
        <v>7420</v>
      </c>
      <c r="FO67" s="426">
        <v>7420</v>
      </c>
      <c r="FP67" s="426">
        <v>7420</v>
      </c>
      <c r="FQ67" s="426">
        <v>7420</v>
      </c>
      <c r="FR67" s="426">
        <v>7420</v>
      </c>
      <c r="FS67" s="426">
        <v>7420</v>
      </c>
      <c r="FT67" s="426">
        <v>7420</v>
      </c>
      <c r="FU67" s="426">
        <v>7420</v>
      </c>
      <c r="FV67" s="426">
        <v>7420</v>
      </c>
      <c r="FW67" s="426">
        <v>7420</v>
      </c>
      <c r="FX67" s="426">
        <v>7420</v>
      </c>
      <c r="FY67" s="426">
        <v>7420</v>
      </c>
      <c r="FZ67" s="426">
        <v>7420</v>
      </c>
      <c r="GA67" s="426">
        <v>7420</v>
      </c>
      <c r="GB67" s="426">
        <v>7420</v>
      </c>
      <c r="GC67" s="426">
        <v>7420</v>
      </c>
      <c r="GD67" s="426">
        <v>7420</v>
      </c>
      <c r="GE67" s="426">
        <v>7420</v>
      </c>
      <c r="GF67" s="426">
        <v>7420</v>
      </c>
      <c r="GG67" s="426">
        <v>7420</v>
      </c>
      <c r="GH67" s="426">
        <v>7420</v>
      </c>
      <c r="GI67" s="426">
        <v>0</v>
      </c>
      <c r="GJ67" s="426">
        <v>0</v>
      </c>
      <c r="GK67" s="426">
        <v>0</v>
      </c>
      <c r="GL67" s="426">
        <v>0</v>
      </c>
      <c r="GM67" s="426">
        <v>0</v>
      </c>
      <c r="GN67" s="426">
        <v>0</v>
      </c>
      <c r="GO67" s="426">
        <v>0</v>
      </c>
      <c r="GP67" s="426">
        <v>0</v>
      </c>
      <c r="GQ67" s="426">
        <v>0</v>
      </c>
      <c r="GR67" s="426">
        <v>0</v>
      </c>
      <c r="GS67" s="426">
        <v>0</v>
      </c>
      <c r="GT67" s="426">
        <v>0</v>
      </c>
      <c r="GU67" s="426">
        <v>0</v>
      </c>
      <c r="GV67" s="426">
        <v>0</v>
      </c>
      <c r="GW67" s="426">
        <v>0</v>
      </c>
      <c r="GX67" s="426">
        <v>0</v>
      </c>
      <c r="GY67" s="426">
        <v>0</v>
      </c>
      <c r="GZ67" s="426">
        <v>0</v>
      </c>
      <c r="HA67" s="426">
        <v>0</v>
      </c>
      <c r="HB67" s="426">
        <v>0</v>
      </c>
      <c r="HC67" s="426">
        <v>0</v>
      </c>
      <c r="HD67" s="426">
        <v>0</v>
      </c>
      <c r="HE67" s="426">
        <v>0</v>
      </c>
      <c r="HF67" s="426">
        <v>0</v>
      </c>
      <c r="HG67" s="426">
        <v>0</v>
      </c>
      <c r="HH67" s="426">
        <v>0</v>
      </c>
      <c r="HI67" s="426">
        <v>0</v>
      </c>
      <c r="HJ67" s="426">
        <v>0</v>
      </c>
      <c r="HK67" s="426">
        <v>0</v>
      </c>
      <c r="HL67" s="426">
        <v>0</v>
      </c>
      <c r="HM67" s="426">
        <v>0</v>
      </c>
      <c r="HN67" s="426">
        <v>0</v>
      </c>
      <c r="HO67" s="426">
        <v>0</v>
      </c>
      <c r="HP67" s="426">
        <v>0</v>
      </c>
      <c r="HQ67" s="426">
        <v>0</v>
      </c>
      <c r="HR67" s="426">
        <v>0</v>
      </c>
      <c r="HS67" s="426">
        <v>0</v>
      </c>
      <c r="HT67" s="426">
        <v>0</v>
      </c>
      <c r="HU67" s="426">
        <v>0</v>
      </c>
      <c r="HV67" s="426">
        <v>0</v>
      </c>
      <c r="HW67" s="426">
        <v>0</v>
      </c>
      <c r="HX67" s="426">
        <v>0</v>
      </c>
      <c r="HY67" s="426">
        <v>0</v>
      </c>
      <c r="HZ67" s="426">
        <v>0</v>
      </c>
      <c r="IA67" s="426">
        <v>0</v>
      </c>
      <c r="IB67" s="426">
        <v>0</v>
      </c>
      <c r="IC67" s="426">
        <v>0</v>
      </c>
      <c r="ID67" s="426">
        <v>0</v>
      </c>
      <c r="IE67" s="426">
        <v>0</v>
      </c>
      <c r="IF67" s="426">
        <v>0</v>
      </c>
      <c r="IG67" s="426">
        <v>0</v>
      </c>
      <c r="IH67" s="426">
        <v>0</v>
      </c>
      <c r="II67" s="426">
        <v>0</v>
      </c>
      <c r="IJ67" s="426">
        <v>0</v>
      </c>
      <c r="IK67" s="426">
        <v>0</v>
      </c>
      <c r="IL67" s="426">
        <v>0</v>
      </c>
      <c r="IM67" s="426">
        <v>0</v>
      </c>
      <c r="IN67" s="426">
        <v>0</v>
      </c>
      <c r="IO67" s="426">
        <v>0</v>
      </c>
      <c r="IP67" s="426">
        <v>0</v>
      </c>
    </row>
    <row r="68" spans="1:250" ht="15">
      <c r="A68" s="357" t="s">
        <v>645</v>
      </c>
      <c r="B68" s="427" t="s">
        <v>777</v>
      </c>
      <c r="C68" s="427"/>
      <c r="D68" s="427"/>
      <c r="E68" s="427"/>
      <c r="F68" s="427">
        <v>2</v>
      </c>
      <c r="G68" s="427"/>
      <c r="H68" s="427">
        <v>40</v>
      </c>
      <c r="I68" s="427"/>
      <c r="J68" t="str">
        <f t="shared" si="3"/>
        <v>CLX200240</v>
      </c>
      <c r="K68" s="427">
        <v>355</v>
      </c>
      <c r="R68" s="357" t="s">
        <v>645</v>
      </c>
      <c r="S68" s="428" t="s">
        <v>777</v>
      </c>
      <c r="T68" s="428">
        <v>2</v>
      </c>
      <c r="U68" s="428">
        <v>40</v>
      </c>
      <c r="V68" s="208" t="str">
        <f t="shared" si="4"/>
        <v>CLX200240</v>
      </c>
      <c r="W68" s="428">
        <v>0</v>
      </c>
      <c r="X68" s="428">
        <v>0</v>
      </c>
      <c r="Y68" s="428">
        <v>0</v>
      </c>
      <c r="Z68" s="428">
        <v>0</v>
      </c>
      <c r="AA68" s="428">
        <v>0</v>
      </c>
      <c r="AB68" s="428">
        <v>0</v>
      </c>
      <c r="AC68" s="428">
        <v>0</v>
      </c>
      <c r="AD68" s="428">
        <v>0</v>
      </c>
      <c r="AE68" s="428">
        <v>0</v>
      </c>
      <c r="AF68" s="428">
        <v>0</v>
      </c>
      <c r="AG68" s="428">
        <v>0</v>
      </c>
      <c r="AH68" s="428">
        <v>0</v>
      </c>
      <c r="AI68" s="428">
        <v>0</v>
      </c>
      <c r="AJ68" s="428">
        <v>0</v>
      </c>
      <c r="AK68" s="428">
        <v>0</v>
      </c>
      <c r="AL68" s="428">
        <v>0</v>
      </c>
      <c r="AM68" s="428">
        <v>0</v>
      </c>
      <c r="AN68" s="428">
        <v>0</v>
      </c>
      <c r="AO68" s="428">
        <v>0</v>
      </c>
      <c r="AP68" s="428">
        <v>0</v>
      </c>
      <c r="AQ68" s="428">
        <v>0</v>
      </c>
      <c r="AR68" s="428">
        <v>0</v>
      </c>
      <c r="AS68" s="428">
        <v>0</v>
      </c>
      <c r="AT68" s="428">
        <v>0</v>
      </c>
      <c r="AU68" s="428">
        <v>0</v>
      </c>
      <c r="AV68" s="428">
        <v>0</v>
      </c>
      <c r="AW68" s="428">
        <v>0</v>
      </c>
      <c r="AX68" s="428">
        <v>0</v>
      </c>
      <c r="AY68" s="428">
        <v>0</v>
      </c>
      <c r="AZ68" s="428">
        <v>0</v>
      </c>
      <c r="BA68" s="428">
        <v>0</v>
      </c>
      <c r="BB68" s="428">
        <v>0</v>
      </c>
      <c r="BC68" s="428">
        <v>0</v>
      </c>
      <c r="BD68" s="428">
        <v>0</v>
      </c>
      <c r="BE68" s="428">
        <v>0</v>
      </c>
      <c r="BF68" s="428">
        <v>0</v>
      </c>
      <c r="BG68" s="428">
        <v>0</v>
      </c>
      <c r="BH68" s="428">
        <v>0</v>
      </c>
      <c r="BI68" s="428">
        <v>0</v>
      </c>
      <c r="BJ68" s="428">
        <v>0</v>
      </c>
      <c r="BK68" s="428">
        <v>0</v>
      </c>
      <c r="BL68" s="428">
        <v>0</v>
      </c>
      <c r="BM68" s="428">
        <v>0</v>
      </c>
      <c r="BN68" s="428">
        <v>0</v>
      </c>
      <c r="BO68" s="428">
        <v>0</v>
      </c>
      <c r="BP68" s="428">
        <v>0</v>
      </c>
      <c r="BQ68" s="428">
        <v>0</v>
      </c>
      <c r="BR68" s="428">
        <v>0</v>
      </c>
      <c r="BS68" s="428">
        <v>0</v>
      </c>
      <c r="BT68" s="428">
        <v>7526</v>
      </c>
      <c r="BU68" s="428">
        <v>0</v>
      </c>
      <c r="BV68" s="428">
        <v>0</v>
      </c>
      <c r="BW68" s="428">
        <v>0</v>
      </c>
      <c r="BX68" s="428">
        <v>0</v>
      </c>
      <c r="BY68" s="428">
        <v>0</v>
      </c>
      <c r="BZ68" s="428">
        <v>0</v>
      </c>
      <c r="CA68" s="428">
        <v>0</v>
      </c>
      <c r="CB68" s="428">
        <v>0</v>
      </c>
      <c r="CC68" s="428">
        <v>0</v>
      </c>
      <c r="CD68" s="428">
        <v>0</v>
      </c>
      <c r="CE68" s="428">
        <v>0</v>
      </c>
      <c r="CF68" s="428">
        <v>0</v>
      </c>
      <c r="CG68" s="428">
        <v>0</v>
      </c>
      <c r="CH68" s="428">
        <v>0</v>
      </c>
      <c r="CI68" s="428">
        <v>0</v>
      </c>
      <c r="CJ68" s="428">
        <v>0</v>
      </c>
      <c r="CK68" s="428">
        <v>0</v>
      </c>
      <c r="CL68" s="428">
        <v>0</v>
      </c>
      <c r="CM68" s="428">
        <v>0</v>
      </c>
      <c r="CN68" s="428">
        <v>0</v>
      </c>
      <c r="CO68" s="428">
        <v>0</v>
      </c>
      <c r="CP68" s="428">
        <v>0</v>
      </c>
      <c r="CQ68" s="428">
        <v>0</v>
      </c>
      <c r="CR68" s="428">
        <v>0</v>
      </c>
      <c r="CS68" s="428">
        <v>0</v>
      </c>
      <c r="CT68" s="428">
        <v>0</v>
      </c>
      <c r="CU68" s="428">
        <v>0</v>
      </c>
      <c r="CV68" s="428">
        <v>0</v>
      </c>
      <c r="CW68" s="428">
        <v>0</v>
      </c>
      <c r="CX68" s="428">
        <v>0</v>
      </c>
      <c r="CY68" s="428">
        <v>0</v>
      </c>
      <c r="CZ68" s="428">
        <v>0</v>
      </c>
      <c r="DA68" s="428">
        <v>0</v>
      </c>
      <c r="DB68" s="428">
        <v>0</v>
      </c>
      <c r="DC68" s="428">
        <v>0</v>
      </c>
      <c r="DD68" s="428">
        <v>0</v>
      </c>
      <c r="DE68" s="428">
        <v>0</v>
      </c>
      <c r="DF68" s="428">
        <v>0</v>
      </c>
      <c r="DG68" s="428">
        <v>0</v>
      </c>
      <c r="DH68" s="428">
        <v>0</v>
      </c>
      <c r="DI68" s="428">
        <v>0</v>
      </c>
      <c r="DJ68" s="428">
        <v>0</v>
      </c>
      <c r="DK68" s="428">
        <v>0</v>
      </c>
      <c r="DL68" s="428">
        <v>0</v>
      </c>
      <c r="DM68" s="428">
        <v>0</v>
      </c>
      <c r="DN68" s="428">
        <v>0</v>
      </c>
      <c r="DO68" s="428">
        <v>0</v>
      </c>
      <c r="DP68" s="428">
        <v>0</v>
      </c>
      <c r="DQ68" s="428">
        <v>0</v>
      </c>
      <c r="DR68" s="428">
        <v>0</v>
      </c>
      <c r="DS68" s="428">
        <v>0</v>
      </c>
      <c r="DT68" s="428">
        <v>0</v>
      </c>
      <c r="DU68" s="428">
        <v>0</v>
      </c>
      <c r="DV68" s="428">
        <v>0</v>
      </c>
      <c r="ED68" s="135"/>
      <c r="EE68" s="357" t="s">
        <v>645</v>
      </c>
      <c r="EF68" s="426" t="s">
        <v>777</v>
      </c>
      <c r="EG68" s="426">
        <v>2</v>
      </c>
      <c r="EH68" s="426">
        <v>40</v>
      </c>
      <c r="EI68" s="208" t="str">
        <f t="shared" si="5"/>
        <v>CLX200240</v>
      </c>
      <c r="EJ68" s="426">
        <v>376.3</v>
      </c>
      <c r="EK68" s="426">
        <v>752.6</v>
      </c>
      <c r="EL68" s="426">
        <v>1128.9000000000001</v>
      </c>
      <c r="EM68" s="426">
        <v>1505.2</v>
      </c>
      <c r="EN68" s="426">
        <v>1881.5</v>
      </c>
      <c r="EO68" s="426">
        <v>2257.8000000000002</v>
      </c>
      <c r="EP68" s="426">
        <v>2634.1</v>
      </c>
      <c r="EQ68" s="426">
        <v>3010.4</v>
      </c>
      <c r="ER68" s="426">
        <v>3386.7</v>
      </c>
      <c r="ES68" s="426">
        <v>3763</v>
      </c>
      <c r="ET68" s="426">
        <v>4139.3</v>
      </c>
      <c r="EU68" s="426">
        <v>4515.6000000000004</v>
      </c>
      <c r="EV68" s="426">
        <v>4891.8999999999996</v>
      </c>
      <c r="EW68" s="426">
        <v>5268.2</v>
      </c>
      <c r="EX68" s="426">
        <v>5644.5</v>
      </c>
      <c r="EY68" s="426">
        <v>6020.8</v>
      </c>
      <c r="EZ68" s="426">
        <v>6397.1</v>
      </c>
      <c r="FA68" s="426">
        <v>6773.4</v>
      </c>
      <c r="FB68" s="426">
        <v>7149.7</v>
      </c>
      <c r="FC68" s="426">
        <v>7526</v>
      </c>
      <c r="FD68" s="426">
        <v>7526</v>
      </c>
      <c r="FE68" s="426">
        <v>7526</v>
      </c>
      <c r="FF68" s="426">
        <v>7526</v>
      </c>
      <c r="FG68" s="426">
        <v>7526</v>
      </c>
      <c r="FH68" s="426">
        <v>7526</v>
      </c>
      <c r="FI68" s="426">
        <v>7526</v>
      </c>
      <c r="FJ68" s="426">
        <v>7526</v>
      </c>
      <c r="FK68" s="426">
        <v>7526</v>
      </c>
      <c r="FL68" s="426">
        <v>7526</v>
      </c>
      <c r="FM68" s="426">
        <v>7526</v>
      </c>
      <c r="FN68" s="426">
        <v>7526</v>
      </c>
      <c r="FO68" s="426">
        <v>7526</v>
      </c>
      <c r="FP68" s="426">
        <v>7526</v>
      </c>
      <c r="FQ68" s="426">
        <v>7526</v>
      </c>
      <c r="FR68" s="426">
        <v>7526</v>
      </c>
      <c r="FS68" s="426">
        <v>7526</v>
      </c>
      <c r="FT68" s="426">
        <v>7526</v>
      </c>
      <c r="FU68" s="426">
        <v>7526</v>
      </c>
      <c r="FV68" s="426">
        <v>7526</v>
      </c>
      <c r="FW68" s="426">
        <v>7526</v>
      </c>
      <c r="FX68" s="426">
        <v>7526</v>
      </c>
      <c r="FY68" s="426">
        <v>7526</v>
      </c>
      <c r="FZ68" s="426">
        <v>7526</v>
      </c>
      <c r="GA68" s="426">
        <v>7526</v>
      </c>
      <c r="GB68" s="426">
        <v>7526</v>
      </c>
      <c r="GC68" s="426">
        <v>7526</v>
      </c>
      <c r="GD68" s="426">
        <v>7526</v>
      </c>
      <c r="GE68" s="426">
        <v>7526</v>
      </c>
      <c r="GF68" s="426">
        <v>7526</v>
      </c>
      <c r="GG68" s="426">
        <v>7526</v>
      </c>
      <c r="GH68" s="426">
        <v>0</v>
      </c>
      <c r="GI68" s="426">
        <v>0</v>
      </c>
      <c r="GJ68" s="426">
        <v>0</v>
      </c>
      <c r="GK68" s="426">
        <v>0</v>
      </c>
      <c r="GL68" s="426">
        <v>0</v>
      </c>
      <c r="GM68" s="426">
        <v>0</v>
      </c>
      <c r="GN68" s="426">
        <v>0</v>
      </c>
      <c r="GO68" s="426">
        <v>0</v>
      </c>
      <c r="GP68" s="426">
        <v>0</v>
      </c>
      <c r="GQ68" s="426">
        <v>0</v>
      </c>
      <c r="GR68" s="426">
        <v>0</v>
      </c>
      <c r="GS68" s="426">
        <v>0</v>
      </c>
      <c r="GT68" s="426">
        <v>0</v>
      </c>
      <c r="GU68" s="426">
        <v>0</v>
      </c>
      <c r="GV68" s="426">
        <v>0</v>
      </c>
      <c r="GW68" s="426">
        <v>0</v>
      </c>
      <c r="GX68" s="426">
        <v>0</v>
      </c>
      <c r="GY68" s="426">
        <v>0</v>
      </c>
      <c r="GZ68" s="426">
        <v>0</v>
      </c>
      <c r="HA68" s="426">
        <v>0</v>
      </c>
      <c r="HB68" s="426">
        <v>0</v>
      </c>
      <c r="HC68" s="426">
        <v>0</v>
      </c>
      <c r="HD68" s="426">
        <v>0</v>
      </c>
      <c r="HE68" s="426">
        <v>0</v>
      </c>
      <c r="HF68" s="426">
        <v>0</v>
      </c>
      <c r="HG68" s="426">
        <v>0</v>
      </c>
      <c r="HH68" s="426">
        <v>0</v>
      </c>
      <c r="HI68" s="426">
        <v>0</v>
      </c>
      <c r="HJ68" s="426">
        <v>0</v>
      </c>
      <c r="HK68" s="426">
        <v>0</v>
      </c>
      <c r="HL68" s="426">
        <v>0</v>
      </c>
      <c r="HM68" s="426">
        <v>0</v>
      </c>
      <c r="HN68" s="426">
        <v>0</v>
      </c>
      <c r="HO68" s="426">
        <v>0</v>
      </c>
      <c r="HP68" s="426">
        <v>0</v>
      </c>
      <c r="HQ68" s="426">
        <v>0</v>
      </c>
      <c r="HR68" s="426">
        <v>0</v>
      </c>
      <c r="HS68" s="426">
        <v>0</v>
      </c>
      <c r="HT68" s="426">
        <v>0</v>
      </c>
      <c r="HU68" s="426">
        <v>0</v>
      </c>
      <c r="HV68" s="426">
        <v>0</v>
      </c>
      <c r="HW68" s="426">
        <v>0</v>
      </c>
      <c r="HX68" s="426">
        <v>0</v>
      </c>
      <c r="HY68" s="426">
        <v>0</v>
      </c>
      <c r="HZ68" s="426">
        <v>0</v>
      </c>
      <c r="IA68" s="426">
        <v>0</v>
      </c>
      <c r="IB68" s="426">
        <v>0</v>
      </c>
      <c r="IC68" s="426">
        <v>0</v>
      </c>
      <c r="ID68" s="426">
        <v>0</v>
      </c>
      <c r="IE68" s="426">
        <v>0</v>
      </c>
      <c r="IF68" s="426">
        <v>0</v>
      </c>
      <c r="IG68" s="426">
        <v>0</v>
      </c>
      <c r="IH68" s="426">
        <v>0</v>
      </c>
      <c r="II68" s="426">
        <v>0</v>
      </c>
      <c r="IJ68" s="426">
        <v>0</v>
      </c>
      <c r="IK68" s="426">
        <v>0</v>
      </c>
      <c r="IL68" s="426">
        <v>0</v>
      </c>
      <c r="IM68" s="426">
        <v>0</v>
      </c>
      <c r="IN68" s="426">
        <v>0</v>
      </c>
      <c r="IO68" s="426">
        <v>0</v>
      </c>
      <c r="IP68" s="426">
        <v>0</v>
      </c>
    </row>
    <row r="69" spans="1:250" ht="15">
      <c r="A69" s="357" t="s">
        <v>645</v>
      </c>
      <c r="B69" s="427" t="s">
        <v>777</v>
      </c>
      <c r="C69" s="427"/>
      <c r="D69" s="427"/>
      <c r="E69" s="427"/>
      <c r="F69" s="427">
        <v>2</v>
      </c>
      <c r="G69" s="427"/>
      <c r="H69" s="427">
        <v>41</v>
      </c>
      <c r="I69" s="427"/>
      <c r="J69" t="str">
        <f t="shared" si="3"/>
        <v>CLX200241</v>
      </c>
      <c r="K69" s="427">
        <v>365</v>
      </c>
      <c r="R69" s="357" t="s">
        <v>645</v>
      </c>
      <c r="S69" s="428" t="s">
        <v>777</v>
      </c>
      <c r="T69" s="428">
        <v>2</v>
      </c>
      <c r="U69" s="428">
        <v>41</v>
      </c>
      <c r="V69" s="208" t="str">
        <f t="shared" si="4"/>
        <v>CLX200241</v>
      </c>
      <c r="W69" s="428">
        <v>0</v>
      </c>
      <c r="X69" s="428">
        <v>0</v>
      </c>
      <c r="Y69" s="428">
        <v>0</v>
      </c>
      <c r="Z69" s="428">
        <v>0</v>
      </c>
      <c r="AA69" s="428">
        <v>0</v>
      </c>
      <c r="AB69" s="428">
        <v>0</v>
      </c>
      <c r="AC69" s="428">
        <v>0</v>
      </c>
      <c r="AD69" s="428">
        <v>0</v>
      </c>
      <c r="AE69" s="428">
        <v>0</v>
      </c>
      <c r="AF69" s="428">
        <v>0</v>
      </c>
      <c r="AG69" s="428">
        <v>0</v>
      </c>
      <c r="AH69" s="428">
        <v>0</v>
      </c>
      <c r="AI69" s="428">
        <v>0</v>
      </c>
      <c r="AJ69" s="428">
        <v>0</v>
      </c>
      <c r="AK69" s="428">
        <v>0</v>
      </c>
      <c r="AL69" s="428">
        <v>0</v>
      </c>
      <c r="AM69" s="428">
        <v>0</v>
      </c>
      <c r="AN69" s="428">
        <v>0</v>
      </c>
      <c r="AO69" s="428">
        <v>0</v>
      </c>
      <c r="AP69" s="428">
        <v>0</v>
      </c>
      <c r="AQ69" s="428">
        <v>0</v>
      </c>
      <c r="AR69" s="428">
        <v>0</v>
      </c>
      <c r="AS69" s="428">
        <v>0</v>
      </c>
      <c r="AT69" s="428">
        <v>0</v>
      </c>
      <c r="AU69" s="428">
        <v>0</v>
      </c>
      <c r="AV69" s="428">
        <v>0</v>
      </c>
      <c r="AW69" s="428">
        <v>0</v>
      </c>
      <c r="AX69" s="428">
        <v>0</v>
      </c>
      <c r="AY69" s="428">
        <v>0</v>
      </c>
      <c r="AZ69" s="428">
        <v>0</v>
      </c>
      <c r="BA69" s="428">
        <v>0</v>
      </c>
      <c r="BB69" s="428">
        <v>0</v>
      </c>
      <c r="BC69" s="428">
        <v>0</v>
      </c>
      <c r="BD69" s="428">
        <v>0</v>
      </c>
      <c r="BE69" s="428">
        <v>0</v>
      </c>
      <c r="BF69" s="428">
        <v>0</v>
      </c>
      <c r="BG69" s="428">
        <v>0</v>
      </c>
      <c r="BH69" s="428">
        <v>0</v>
      </c>
      <c r="BI69" s="428">
        <v>0</v>
      </c>
      <c r="BJ69" s="428">
        <v>0</v>
      </c>
      <c r="BK69" s="428">
        <v>0</v>
      </c>
      <c r="BL69" s="428">
        <v>0</v>
      </c>
      <c r="BM69" s="428">
        <v>0</v>
      </c>
      <c r="BN69" s="428">
        <v>0</v>
      </c>
      <c r="BO69" s="428">
        <v>0</v>
      </c>
      <c r="BP69" s="428">
        <v>0</v>
      </c>
      <c r="BQ69" s="428">
        <v>0</v>
      </c>
      <c r="BR69" s="428">
        <v>0</v>
      </c>
      <c r="BS69" s="428">
        <v>7738.0000000000009</v>
      </c>
      <c r="BT69" s="428">
        <v>0</v>
      </c>
      <c r="BU69" s="428">
        <v>0</v>
      </c>
      <c r="BV69" s="428">
        <v>0</v>
      </c>
      <c r="BW69" s="428">
        <v>0</v>
      </c>
      <c r="BX69" s="428">
        <v>0</v>
      </c>
      <c r="BY69" s="428">
        <v>0</v>
      </c>
      <c r="BZ69" s="428">
        <v>0</v>
      </c>
      <c r="CA69" s="428">
        <v>0</v>
      </c>
      <c r="CB69" s="428">
        <v>0</v>
      </c>
      <c r="CC69" s="428">
        <v>0</v>
      </c>
      <c r="CD69" s="428">
        <v>0</v>
      </c>
      <c r="CE69" s="428">
        <v>0</v>
      </c>
      <c r="CF69" s="428">
        <v>0</v>
      </c>
      <c r="CG69" s="428">
        <v>0</v>
      </c>
      <c r="CH69" s="428">
        <v>0</v>
      </c>
      <c r="CI69" s="428">
        <v>0</v>
      </c>
      <c r="CJ69" s="428">
        <v>0</v>
      </c>
      <c r="CK69" s="428">
        <v>0</v>
      </c>
      <c r="CL69" s="428">
        <v>0</v>
      </c>
      <c r="CM69" s="428">
        <v>0</v>
      </c>
      <c r="CN69" s="428">
        <v>0</v>
      </c>
      <c r="CO69" s="428">
        <v>0</v>
      </c>
      <c r="CP69" s="428">
        <v>0</v>
      </c>
      <c r="CQ69" s="428">
        <v>0</v>
      </c>
      <c r="CR69" s="428">
        <v>0</v>
      </c>
      <c r="CS69" s="428">
        <v>0</v>
      </c>
      <c r="CT69" s="428">
        <v>0</v>
      </c>
      <c r="CU69" s="428">
        <v>0</v>
      </c>
      <c r="CV69" s="428">
        <v>0</v>
      </c>
      <c r="CW69" s="428">
        <v>0</v>
      </c>
      <c r="CX69" s="428">
        <v>0</v>
      </c>
      <c r="CY69" s="428">
        <v>0</v>
      </c>
      <c r="CZ69" s="428">
        <v>0</v>
      </c>
      <c r="DA69" s="428">
        <v>0</v>
      </c>
      <c r="DB69" s="428">
        <v>0</v>
      </c>
      <c r="DC69" s="428">
        <v>0</v>
      </c>
      <c r="DD69" s="428">
        <v>0</v>
      </c>
      <c r="DE69" s="428">
        <v>0</v>
      </c>
      <c r="DF69" s="428">
        <v>0</v>
      </c>
      <c r="DG69" s="428">
        <v>0</v>
      </c>
      <c r="DH69" s="428">
        <v>0</v>
      </c>
      <c r="DI69" s="428">
        <v>0</v>
      </c>
      <c r="DJ69" s="428">
        <v>0</v>
      </c>
      <c r="DK69" s="428">
        <v>0</v>
      </c>
      <c r="DL69" s="428">
        <v>0</v>
      </c>
      <c r="DM69" s="428">
        <v>0</v>
      </c>
      <c r="DN69" s="428">
        <v>0</v>
      </c>
      <c r="DO69" s="428">
        <v>0</v>
      </c>
      <c r="DP69" s="428">
        <v>0</v>
      </c>
      <c r="DQ69" s="428">
        <v>0</v>
      </c>
      <c r="DR69" s="428">
        <v>0</v>
      </c>
      <c r="DS69" s="428">
        <v>0</v>
      </c>
      <c r="DT69" s="428">
        <v>0</v>
      </c>
      <c r="DU69" s="428">
        <v>0</v>
      </c>
      <c r="DV69" s="428">
        <v>0</v>
      </c>
      <c r="ED69" s="135"/>
      <c r="EE69" s="357" t="s">
        <v>645</v>
      </c>
      <c r="EF69" s="426" t="s">
        <v>777</v>
      </c>
      <c r="EG69" s="426">
        <v>2</v>
      </c>
      <c r="EH69" s="426">
        <v>41</v>
      </c>
      <c r="EI69" s="208" t="str">
        <f t="shared" si="5"/>
        <v>CLX200241</v>
      </c>
      <c r="EJ69" s="426">
        <v>386.9</v>
      </c>
      <c r="EK69" s="426">
        <v>773.8</v>
      </c>
      <c r="EL69" s="426">
        <v>1160.7</v>
      </c>
      <c r="EM69" s="426">
        <v>1547.6</v>
      </c>
      <c r="EN69" s="426">
        <v>1934.5</v>
      </c>
      <c r="EO69" s="426">
        <v>2321.4</v>
      </c>
      <c r="EP69" s="426">
        <v>2708.3</v>
      </c>
      <c r="EQ69" s="426">
        <v>3095.2</v>
      </c>
      <c r="ER69" s="426">
        <v>3482.1</v>
      </c>
      <c r="ES69" s="426">
        <v>3869</v>
      </c>
      <c r="ET69" s="426">
        <v>4255.8999999999996</v>
      </c>
      <c r="EU69" s="426">
        <v>4642.8</v>
      </c>
      <c r="EV69" s="426">
        <v>5029.7</v>
      </c>
      <c r="EW69" s="426">
        <v>5416.6</v>
      </c>
      <c r="EX69" s="426">
        <v>5803.5</v>
      </c>
      <c r="EY69" s="426">
        <v>6190.4</v>
      </c>
      <c r="EZ69" s="426">
        <v>6577.3</v>
      </c>
      <c r="FA69" s="426">
        <v>6964.2</v>
      </c>
      <c r="FB69" s="426">
        <v>7351.1</v>
      </c>
      <c r="FC69" s="426">
        <v>7738</v>
      </c>
      <c r="FD69" s="426">
        <v>7738</v>
      </c>
      <c r="FE69" s="426">
        <v>7738</v>
      </c>
      <c r="FF69" s="426">
        <v>7738</v>
      </c>
      <c r="FG69" s="426">
        <v>7738</v>
      </c>
      <c r="FH69" s="426">
        <v>7738</v>
      </c>
      <c r="FI69" s="426">
        <v>7738</v>
      </c>
      <c r="FJ69" s="426">
        <v>7738</v>
      </c>
      <c r="FK69" s="426">
        <v>7738</v>
      </c>
      <c r="FL69" s="426">
        <v>7738</v>
      </c>
      <c r="FM69" s="426">
        <v>7738</v>
      </c>
      <c r="FN69" s="426">
        <v>7738</v>
      </c>
      <c r="FO69" s="426">
        <v>7738</v>
      </c>
      <c r="FP69" s="426">
        <v>7738</v>
      </c>
      <c r="FQ69" s="426">
        <v>7738</v>
      </c>
      <c r="FR69" s="426">
        <v>7738</v>
      </c>
      <c r="FS69" s="426">
        <v>7738</v>
      </c>
      <c r="FT69" s="426">
        <v>7738</v>
      </c>
      <c r="FU69" s="426">
        <v>7738</v>
      </c>
      <c r="FV69" s="426">
        <v>7738</v>
      </c>
      <c r="FW69" s="426">
        <v>7738</v>
      </c>
      <c r="FX69" s="426">
        <v>7738</v>
      </c>
      <c r="FY69" s="426">
        <v>7738</v>
      </c>
      <c r="FZ69" s="426">
        <v>7738</v>
      </c>
      <c r="GA69" s="426">
        <v>7738</v>
      </c>
      <c r="GB69" s="426">
        <v>7738</v>
      </c>
      <c r="GC69" s="426">
        <v>7738</v>
      </c>
      <c r="GD69" s="426">
        <v>7738</v>
      </c>
      <c r="GE69" s="426">
        <v>7738</v>
      </c>
      <c r="GF69" s="426">
        <v>7738</v>
      </c>
      <c r="GG69" s="426">
        <v>0</v>
      </c>
      <c r="GH69" s="426">
        <v>0</v>
      </c>
      <c r="GI69" s="426">
        <v>0</v>
      </c>
      <c r="GJ69" s="426">
        <v>0</v>
      </c>
      <c r="GK69" s="426">
        <v>0</v>
      </c>
      <c r="GL69" s="426">
        <v>0</v>
      </c>
      <c r="GM69" s="426">
        <v>0</v>
      </c>
      <c r="GN69" s="426">
        <v>0</v>
      </c>
      <c r="GO69" s="426">
        <v>0</v>
      </c>
      <c r="GP69" s="426">
        <v>0</v>
      </c>
      <c r="GQ69" s="426">
        <v>0</v>
      </c>
      <c r="GR69" s="426">
        <v>0</v>
      </c>
      <c r="GS69" s="426">
        <v>0</v>
      </c>
      <c r="GT69" s="426">
        <v>0</v>
      </c>
      <c r="GU69" s="426">
        <v>0</v>
      </c>
      <c r="GV69" s="426">
        <v>0</v>
      </c>
      <c r="GW69" s="426">
        <v>0</v>
      </c>
      <c r="GX69" s="426">
        <v>0</v>
      </c>
      <c r="GY69" s="426">
        <v>0</v>
      </c>
      <c r="GZ69" s="426">
        <v>0</v>
      </c>
      <c r="HA69" s="426">
        <v>0</v>
      </c>
      <c r="HB69" s="426">
        <v>0</v>
      </c>
      <c r="HC69" s="426">
        <v>0</v>
      </c>
      <c r="HD69" s="426">
        <v>0</v>
      </c>
      <c r="HE69" s="426">
        <v>0</v>
      </c>
      <c r="HF69" s="426">
        <v>0</v>
      </c>
      <c r="HG69" s="426">
        <v>0</v>
      </c>
      <c r="HH69" s="426">
        <v>0</v>
      </c>
      <c r="HI69" s="426">
        <v>0</v>
      </c>
      <c r="HJ69" s="426">
        <v>0</v>
      </c>
      <c r="HK69" s="426">
        <v>0</v>
      </c>
      <c r="HL69" s="426">
        <v>0</v>
      </c>
      <c r="HM69" s="426">
        <v>0</v>
      </c>
      <c r="HN69" s="426">
        <v>0</v>
      </c>
      <c r="HO69" s="426">
        <v>0</v>
      </c>
      <c r="HP69" s="426">
        <v>0</v>
      </c>
      <c r="HQ69" s="426">
        <v>0</v>
      </c>
      <c r="HR69" s="426">
        <v>0</v>
      </c>
      <c r="HS69" s="426">
        <v>0</v>
      </c>
      <c r="HT69" s="426">
        <v>0</v>
      </c>
      <c r="HU69" s="426">
        <v>0</v>
      </c>
      <c r="HV69" s="426">
        <v>0</v>
      </c>
      <c r="HW69" s="426">
        <v>0</v>
      </c>
      <c r="HX69" s="426">
        <v>0</v>
      </c>
      <c r="HY69" s="426">
        <v>0</v>
      </c>
      <c r="HZ69" s="426">
        <v>0</v>
      </c>
      <c r="IA69" s="426">
        <v>0</v>
      </c>
      <c r="IB69" s="426">
        <v>0</v>
      </c>
      <c r="IC69" s="426">
        <v>0</v>
      </c>
      <c r="ID69" s="426">
        <v>0</v>
      </c>
      <c r="IE69" s="426">
        <v>0</v>
      </c>
      <c r="IF69" s="426">
        <v>0</v>
      </c>
      <c r="IG69" s="426">
        <v>0</v>
      </c>
      <c r="IH69" s="426">
        <v>0</v>
      </c>
      <c r="II69" s="426">
        <v>0</v>
      </c>
      <c r="IJ69" s="426">
        <v>0</v>
      </c>
      <c r="IK69" s="426">
        <v>0</v>
      </c>
      <c r="IL69" s="426">
        <v>0</v>
      </c>
      <c r="IM69" s="426">
        <v>0</v>
      </c>
      <c r="IN69" s="426">
        <v>0</v>
      </c>
      <c r="IO69" s="426">
        <v>0</v>
      </c>
      <c r="IP69" s="426">
        <v>0</v>
      </c>
    </row>
    <row r="70" spans="1:250" ht="15">
      <c r="A70" s="357" t="s">
        <v>645</v>
      </c>
      <c r="B70" s="427" t="s">
        <v>777</v>
      </c>
      <c r="C70" s="427"/>
      <c r="D70" s="427"/>
      <c r="E70" s="427"/>
      <c r="F70" s="427">
        <v>2</v>
      </c>
      <c r="G70" s="427"/>
      <c r="H70" s="427">
        <v>42</v>
      </c>
      <c r="I70" s="427"/>
      <c r="J70" t="str">
        <f t="shared" si="3"/>
        <v>CLX200242</v>
      </c>
      <c r="K70" s="427">
        <v>370</v>
      </c>
      <c r="R70" s="357" t="s">
        <v>645</v>
      </c>
      <c r="S70" s="428" t="s">
        <v>777</v>
      </c>
      <c r="T70" s="428">
        <v>2</v>
      </c>
      <c r="U70" s="428">
        <v>42</v>
      </c>
      <c r="V70" s="208" t="str">
        <f t="shared" si="4"/>
        <v>CLX200242</v>
      </c>
      <c r="W70" s="428">
        <v>0</v>
      </c>
      <c r="X70" s="428">
        <v>0</v>
      </c>
      <c r="Y70" s="428">
        <v>0</v>
      </c>
      <c r="Z70" s="428">
        <v>0</v>
      </c>
      <c r="AA70" s="428">
        <v>0</v>
      </c>
      <c r="AB70" s="428">
        <v>0</v>
      </c>
      <c r="AC70" s="428">
        <v>0</v>
      </c>
      <c r="AD70" s="428">
        <v>0</v>
      </c>
      <c r="AE70" s="428">
        <v>0</v>
      </c>
      <c r="AF70" s="428">
        <v>0</v>
      </c>
      <c r="AG70" s="428">
        <v>0</v>
      </c>
      <c r="AH70" s="428">
        <v>0</v>
      </c>
      <c r="AI70" s="428">
        <v>0</v>
      </c>
      <c r="AJ70" s="428">
        <v>0</v>
      </c>
      <c r="AK70" s="428">
        <v>0</v>
      </c>
      <c r="AL70" s="428">
        <v>0</v>
      </c>
      <c r="AM70" s="428">
        <v>0</v>
      </c>
      <c r="AN70" s="428">
        <v>0</v>
      </c>
      <c r="AO70" s="428">
        <v>0</v>
      </c>
      <c r="AP70" s="428">
        <v>0</v>
      </c>
      <c r="AQ70" s="428">
        <v>0</v>
      </c>
      <c r="AR70" s="428">
        <v>0</v>
      </c>
      <c r="AS70" s="428">
        <v>0</v>
      </c>
      <c r="AT70" s="428">
        <v>0</v>
      </c>
      <c r="AU70" s="428">
        <v>0</v>
      </c>
      <c r="AV70" s="428">
        <v>0</v>
      </c>
      <c r="AW70" s="428">
        <v>0</v>
      </c>
      <c r="AX70" s="428">
        <v>0</v>
      </c>
      <c r="AY70" s="428">
        <v>0</v>
      </c>
      <c r="AZ70" s="428">
        <v>0</v>
      </c>
      <c r="BA70" s="428">
        <v>0</v>
      </c>
      <c r="BB70" s="428">
        <v>0</v>
      </c>
      <c r="BC70" s="428">
        <v>0</v>
      </c>
      <c r="BD70" s="428">
        <v>0</v>
      </c>
      <c r="BE70" s="428">
        <v>0</v>
      </c>
      <c r="BF70" s="428">
        <v>0</v>
      </c>
      <c r="BG70" s="428">
        <v>0</v>
      </c>
      <c r="BH70" s="428">
        <v>0</v>
      </c>
      <c r="BI70" s="428">
        <v>0</v>
      </c>
      <c r="BJ70" s="428">
        <v>0</v>
      </c>
      <c r="BK70" s="428">
        <v>0</v>
      </c>
      <c r="BL70" s="428">
        <v>0</v>
      </c>
      <c r="BM70" s="428">
        <v>0</v>
      </c>
      <c r="BN70" s="428">
        <v>0</v>
      </c>
      <c r="BO70" s="428">
        <v>0</v>
      </c>
      <c r="BP70" s="428">
        <v>0</v>
      </c>
      <c r="BQ70" s="428">
        <v>0</v>
      </c>
      <c r="BR70" s="428">
        <v>7844.0000000000009</v>
      </c>
      <c r="BS70" s="428">
        <v>0</v>
      </c>
      <c r="BT70" s="428">
        <v>0</v>
      </c>
      <c r="BU70" s="428">
        <v>0</v>
      </c>
      <c r="BV70" s="428">
        <v>0</v>
      </c>
      <c r="BW70" s="428">
        <v>0</v>
      </c>
      <c r="BX70" s="428">
        <v>0</v>
      </c>
      <c r="BY70" s="428">
        <v>0</v>
      </c>
      <c r="BZ70" s="428">
        <v>0</v>
      </c>
      <c r="CA70" s="428">
        <v>0</v>
      </c>
      <c r="CB70" s="428">
        <v>0</v>
      </c>
      <c r="CC70" s="428">
        <v>0</v>
      </c>
      <c r="CD70" s="428">
        <v>0</v>
      </c>
      <c r="CE70" s="428">
        <v>0</v>
      </c>
      <c r="CF70" s="428">
        <v>0</v>
      </c>
      <c r="CG70" s="428">
        <v>0</v>
      </c>
      <c r="CH70" s="428">
        <v>0</v>
      </c>
      <c r="CI70" s="428">
        <v>0</v>
      </c>
      <c r="CJ70" s="428">
        <v>0</v>
      </c>
      <c r="CK70" s="428">
        <v>0</v>
      </c>
      <c r="CL70" s="428">
        <v>0</v>
      </c>
      <c r="CM70" s="428">
        <v>0</v>
      </c>
      <c r="CN70" s="428">
        <v>0</v>
      </c>
      <c r="CO70" s="428">
        <v>0</v>
      </c>
      <c r="CP70" s="428">
        <v>0</v>
      </c>
      <c r="CQ70" s="428">
        <v>0</v>
      </c>
      <c r="CR70" s="428">
        <v>0</v>
      </c>
      <c r="CS70" s="428">
        <v>0</v>
      </c>
      <c r="CT70" s="428">
        <v>0</v>
      </c>
      <c r="CU70" s="428">
        <v>0</v>
      </c>
      <c r="CV70" s="428">
        <v>0</v>
      </c>
      <c r="CW70" s="428">
        <v>0</v>
      </c>
      <c r="CX70" s="428">
        <v>0</v>
      </c>
      <c r="CY70" s="428">
        <v>0</v>
      </c>
      <c r="CZ70" s="428">
        <v>0</v>
      </c>
      <c r="DA70" s="428">
        <v>0</v>
      </c>
      <c r="DB70" s="428">
        <v>0</v>
      </c>
      <c r="DC70" s="428">
        <v>0</v>
      </c>
      <c r="DD70" s="428">
        <v>0</v>
      </c>
      <c r="DE70" s="428">
        <v>0</v>
      </c>
      <c r="DF70" s="428">
        <v>0</v>
      </c>
      <c r="DG70" s="428">
        <v>0</v>
      </c>
      <c r="DH70" s="428">
        <v>0</v>
      </c>
      <c r="DI70" s="428">
        <v>0</v>
      </c>
      <c r="DJ70" s="428">
        <v>0</v>
      </c>
      <c r="DK70" s="428">
        <v>0</v>
      </c>
      <c r="DL70" s="428">
        <v>0</v>
      </c>
      <c r="DM70" s="428">
        <v>0</v>
      </c>
      <c r="DN70" s="428">
        <v>0</v>
      </c>
      <c r="DO70" s="428">
        <v>0</v>
      </c>
      <c r="DP70" s="428">
        <v>0</v>
      </c>
      <c r="DQ70" s="428">
        <v>0</v>
      </c>
      <c r="DR70" s="428">
        <v>0</v>
      </c>
      <c r="DS70" s="428">
        <v>0</v>
      </c>
      <c r="DT70" s="428">
        <v>0</v>
      </c>
      <c r="DU70" s="428">
        <v>0</v>
      </c>
      <c r="DV70" s="428">
        <v>0</v>
      </c>
      <c r="ED70" s="135"/>
      <c r="EE70" s="357" t="s">
        <v>645</v>
      </c>
      <c r="EF70" s="426" t="s">
        <v>777</v>
      </c>
      <c r="EG70" s="426">
        <v>2</v>
      </c>
      <c r="EH70" s="426">
        <v>42</v>
      </c>
      <c r="EI70" s="208" t="str">
        <f t="shared" si="5"/>
        <v>CLX200242</v>
      </c>
      <c r="EJ70" s="426">
        <v>392.2</v>
      </c>
      <c r="EK70" s="426">
        <v>784.4</v>
      </c>
      <c r="EL70" s="426">
        <v>1176.5999999999999</v>
      </c>
      <c r="EM70" s="426">
        <v>1568.8</v>
      </c>
      <c r="EN70" s="426">
        <v>1961</v>
      </c>
      <c r="EO70" s="426">
        <v>2353.1999999999998</v>
      </c>
      <c r="EP70" s="426">
        <v>2745.4</v>
      </c>
      <c r="EQ70" s="426">
        <v>3137.6</v>
      </c>
      <c r="ER70" s="426">
        <v>3529.8</v>
      </c>
      <c r="ES70" s="426">
        <v>3922</v>
      </c>
      <c r="ET70" s="426">
        <v>4314.2</v>
      </c>
      <c r="EU70" s="426">
        <v>4706.3999999999996</v>
      </c>
      <c r="EV70" s="426">
        <v>5098.6000000000004</v>
      </c>
      <c r="EW70" s="426">
        <v>5490.8</v>
      </c>
      <c r="EX70" s="426">
        <v>5883</v>
      </c>
      <c r="EY70" s="426">
        <v>6275.2</v>
      </c>
      <c r="EZ70" s="426">
        <v>6667.4</v>
      </c>
      <c r="FA70" s="426">
        <v>7059.6</v>
      </c>
      <c r="FB70" s="426">
        <v>7451.8</v>
      </c>
      <c r="FC70" s="426">
        <v>7844</v>
      </c>
      <c r="FD70" s="426">
        <v>7844</v>
      </c>
      <c r="FE70" s="426">
        <v>7844</v>
      </c>
      <c r="FF70" s="426">
        <v>7844</v>
      </c>
      <c r="FG70" s="426">
        <v>7844</v>
      </c>
      <c r="FH70" s="426">
        <v>7844</v>
      </c>
      <c r="FI70" s="426">
        <v>7844</v>
      </c>
      <c r="FJ70" s="426">
        <v>7844</v>
      </c>
      <c r="FK70" s="426">
        <v>7844</v>
      </c>
      <c r="FL70" s="426">
        <v>7844</v>
      </c>
      <c r="FM70" s="426">
        <v>7844</v>
      </c>
      <c r="FN70" s="426">
        <v>7844</v>
      </c>
      <c r="FO70" s="426">
        <v>7844</v>
      </c>
      <c r="FP70" s="426">
        <v>7844</v>
      </c>
      <c r="FQ70" s="426">
        <v>7844</v>
      </c>
      <c r="FR70" s="426">
        <v>7844</v>
      </c>
      <c r="FS70" s="426">
        <v>7844</v>
      </c>
      <c r="FT70" s="426">
        <v>7844</v>
      </c>
      <c r="FU70" s="426">
        <v>7844</v>
      </c>
      <c r="FV70" s="426">
        <v>7844</v>
      </c>
      <c r="FW70" s="426">
        <v>7844</v>
      </c>
      <c r="FX70" s="426">
        <v>7844</v>
      </c>
      <c r="FY70" s="426">
        <v>7844</v>
      </c>
      <c r="FZ70" s="426">
        <v>7844</v>
      </c>
      <c r="GA70" s="426">
        <v>7844</v>
      </c>
      <c r="GB70" s="426">
        <v>7844</v>
      </c>
      <c r="GC70" s="426">
        <v>7844</v>
      </c>
      <c r="GD70" s="426">
        <v>7844</v>
      </c>
      <c r="GE70" s="426">
        <v>7844</v>
      </c>
      <c r="GF70" s="426">
        <v>0</v>
      </c>
      <c r="GG70" s="426">
        <v>0</v>
      </c>
      <c r="GH70" s="426">
        <v>0</v>
      </c>
      <c r="GI70" s="426">
        <v>0</v>
      </c>
      <c r="GJ70" s="426">
        <v>0</v>
      </c>
      <c r="GK70" s="426">
        <v>0</v>
      </c>
      <c r="GL70" s="426">
        <v>0</v>
      </c>
      <c r="GM70" s="426">
        <v>0</v>
      </c>
      <c r="GN70" s="426">
        <v>0</v>
      </c>
      <c r="GO70" s="426">
        <v>0</v>
      </c>
      <c r="GP70" s="426">
        <v>0</v>
      </c>
      <c r="GQ70" s="426">
        <v>0</v>
      </c>
      <c r="GR70" s="426">
        <v>0</v>
      </c>
      <c r="GS70" s="426">
        <v>0</v>
      </c>
      <c r="GT70" s="426">
        <v>0</v>
      </c>
      <c r="GU70" s="426">
        <v>0</v>
      </c>
      <c r="GV70" s="426">
        <v>0</v>
      </c>
      <c r="GW70" s="426">
        <v>0</v>
      </c>
      <c r="GX70" s="426">
        <v>0</v>
      </c>
      <c r="GY70" s="426">
        <v>0</v>
      </c>
      <c r="GZ70" s="426">
        <v>0</v>
      </c>
      <c r="HA70" s="426">
        <v>0</v>
      </c>
      <c r="HB70" s="426">
        <v>0</v>
      </c>
      <c r="HC70" s="426">
        <v>0</v>
      </c>
      <c r="HD70" s="426">
        <v>0</v>
      </c>
      <c r="HE70" s="426">
        <v>0</v>
      </c>
      <c r="HF70" s="426">
        <v>0</v>
      </c>
      <c r="HG70" s="426">
        <v>0</v>
      </c>
      <c r="HH70" s="426">
        <v>0</v>
      </c>
      <c r="HI70" s="426">
        <v>0</v>
      </c>
      <c r="HJ70" s="426">
        <v>0</v>
      </c>
      <c r="HK70" s="426">
        <v>0</v>
      </c>
      <c r="HL70" s="426">
        <v>0</v>
      </c>
      <c r="HM70" s="426">
        <v>0</v>
      </c>
      <c r="HN70" s="426">
        <v>0</v>
      </c>
      <c r="HO70" s="426">
        <v>0</v>
      </c>
      <c r="HP70" s="426">
        <v>0</v>
      </c>
      <c r="HQ70" s="426">
        <v>0</v>
      </c>
      <c r="HR70" s="426">
        <v>0</v>
      </c>
      <c r="HS70" s="426">
        <v>0</v>
      </c>
      <c r="HT70" s="426">
        <v>0</v>
      </c>
      <c r="HU70" s="426">
        <v>0</v>
      </c>
      <c r="HV70" s="426">
        <v>0</v>
      </c>
      <c r="HW70" s="426">
        <v>0</v>
      </c>
      <c r="HX70" s="426">
        <v>0</v>
      </c>
      <c r="HY70" s="426">
        <v>0</v>
      </c>
      <c r="HZ70" s="426">
        <v>0</v>
      </c>
      <c r="IA70" s="426">
        <v>0</v>
      </c>
      <c r="IB70" s="426">
        <v>0</v>
      </c>
      <c r="IC70" s="426">
        <v>0</v>
      </c>
      <c r="ID70" s="426">
        <v>0</v>
      </c>
      <c r="IE70" s="426">
        <v>0</v>
      </c>
      <c r="IF70" s="426">
        <v>0</v>
      </c>
      <c r="IG70" s="426">
        <v>0</v>
      </c>
      <c r="IH70" s="426">
        <v>0</v>
      </c>
      <c r="II70" s="426">
        <v>0</v>
      </c>
      <c r="IJ70" s="426">
        <v>0</v>
      </c>
      <c r="IK70" s="426">
        <v>0</v>
      </c>
      <c r="IL70" s="426">
        <v>0</v>
      </c>
      <c r="IM70" s="426">
        <v>0</v>
      </c>
      <c r="IN70" s="426">
        <v>0</v>
      </c>
      <c r="IO70" s="426">
        <v>0</v>
      </c>
      <c r="IP70" s="426">
        <v>0</v>
      </c>
    </row>
    <row r="71" spans="1:250" ht="15">
      <c r="A71" s="357" t="s">
        <v>645</v>
      </c>
      <c r="B71" s="427" t="s">
        <v>777</v>
      </c>
      <c r="C71" s="427"/>
      <c r="D71" s="427"/>
      <c r="E71" s="427"/>
      <c r="F71" s="427">
        <v>2</v>
      </c>
      <c r="G71" s="427"/>
      <c r="H71" s="427">
        <v>43</v>
      </c>
      <c r="I71" s="427"/>
      <c r="J71" t="str">
        <f t="shared" si="3"/>
        <v>CLX200243</v>
      </c>
      <c r="K71" s="427">
        <v>380</v>
      </c>
      <c r="R71" s="357" t="s">
        <v>645</v>
      </c>
      <c r="S71" s="428" t="s">
        <v>777</v>
      </c>
      <c r="T71" s="428">
        <v>2</v>
      </c>
      <c r="U71" s="428">
        <v>43</v>
      </c>
      <c r="V71" s="208" t="str">
        <f t="shared" si="4"/>
        <v>CLX200243</v>
      </c>
      <c r="W71" s="428">
        <v>0</v>
      </c>
      <c r="X71" s="428">
        <v>0</v>
      </c>
      <c r="Y71" s="428">
        <v>0</v>
      </c>
      <c r="Z71" s="428">
        <v>0</v>
      </c>
      <c r="AA71" s="428">
        <v>0</v>
      </c>
      <c r="AB71" s="428">
        <v>0</v>
      </c>
      <c r="AC71" s="428">
        <v>0</v>
      </c>
      <c r="AD71" s="428">
        <v>0</v>
      </c>
      <c r="AE71" s="428">
        <v>0</v>
      </c>
      <c r="AF71" s="428">
        <v>0</v>
      </c>
      <c r="AG71" s="428">
        <v>0</v>
      </c>
      <c r="AH71" s="428">
        <v>0</v>
      </c>
      <c r="AI71" s="428">
        <v>0</v>
      </c>
      <c r="AJ71" s="428">
        <v>0</v>
      </c>
      <c r="AK71" s="428">
        <v>0</v>
      </c>
      <c r="AL71" s="428">
        <v>0</v>
      </c>
      <c r="AM71" s="428">
        <v>0</v>
      </c>
      <c r="AN71" s="428">
        <v>0</v>
      </c>
      <c r="AO71" s="428">
        <v>0</v>
      </c>
      <c r="AP71" s="428">
        <v>0</v>
      </c>
      <c r="AQ71" s="428">
        <v>0</v>
      </c>
      <c r="AR71" s="428">
        <v>0</v>
      </c>
      <c r="AS71" s="428">
        <v>0</v>
      </c>
      <c r="AT71" s="428">
        <v>0</v>
      </c>
      <c r="AU71" s="428">
        <v>0</v>
      </c>
      <c r="AV71" s="428">
        <v>0</v>
      </c>
      <c r="AW71" s="428">
        <v>0</v>
      </c>
      <c r="AX71" s="428">
        <v>0</v>
      </c>
      <c r="AY71" s="428">
        <v>0</v>
      </c>
      <c r="AZ71" s="428">
        <v>0</v>
      </c>
      <c r="BA71" s="428">
        <v>0</v>
      </c>
      <c r="BB71" s="428">
        <v>0</v>
      </c>
      <c r="BC71" s="428">
        <v>0</v>
      </c>
      <c r="BD71" s="428">
        <v>0</v>
      </c>
      <c r="BE71" s="428">
        <v>0</v>
      </c>
      <c r="BF71" s="428">
        <v>0</v>
      </c>
      <c r="BG71" s="428">
        <v>0</v>
      </c>
      <c r="BH71" s="428">
        <v>0</v>
      </c>
      <c r="BI71" s="428">
        <v>0</v>
      </c>
      <c r="BJ71" s="428">
        <v>0</v>
      </c>
      <c r="BK71" s="428">
        <v>0</v>
      </c>
      <c r="BL71" s="428">
        <v>0</v>
      </c>
      <c r="BM71" s="428">
        <v>0</v>
      </c>
      <c r="BN71" s="428">
        <v>0</v>
      </c>
      <c r="BO71" s="428">
        <v>0</v>
      </c>
      <c r="BP71" s="428">
        <v>0</v>
      </c>
      <c r="BQ71" s="428">
        <v>8056</v>
      </c>
      <c r="BR71" s="428">
        <v>0</v>
      </c>
      <c r="BS71" s="428">
        <v>0</v>
      </c>
      <c r="BT71" s="428">
        <v>0</v>
      </c>
      <c r="BU71" s="428">
        <v>0</v>
      </c>
      <c r="BV71" s="428">
        <v>0</v>
      </c>
      <c r="BW71" s="428">
        <v>0</v>
      </c>
      <c r="BX71" s="428">
        <v>0</v>
      </c>
      <c r="BY71" s="428">
        <v>0</v>
      </c>
      <c r="BZ71" s="428">
        <v>0</v>
      </c>
      <c r="CA71" s="428">
        <v>0</v>
      </c>
      <c r="CB71" s="428">
        <v>0</v>
      </c>
      <c r="CC71" s="428">
        <v>0</v>
      </c>
      <c r="CD71" s="428">
        <v>0</v>
      </c>
      <c r="CE71" s="428">
        <v>0</v>
      </c>
      <c r="CF71" s="428">
        <v>0</v>
      </c>
      <c r="CG71" s="428">
        <v>0</v>
      </c>
      <c r="CH71" s="428">
        <v>0</v>
      </c>
      <c r="CI71" s="428">
        <v>0</v>
      </c>
      <c r="CJ71" s="428">
        <v>0</v>
      </c>
      <c r="CK71" s="428">
        <v>0</v>
      </c>
      <c r="CL71" s="428">
        <v>0</v>
      </c>
      <c r="CM71" s="428">
        <v>0</v>
      </c>
      <c r="CN71" s="428">
        <v>0</v>
      </c>
      <c r="CO71" s="428">
        <v>0</v>
      </c>
      <c r="CP71" s="428">
        <v>0</v>
      </c>
      <c r="CQ71" s="428">
        <v>0</v>
      </c>
      <c r="CR71" s="428">
        <v>0</v>
      </c>
      <c r="CS71" s="428">
        <v>0</v>
      </c>
      <c r="CT71" s="428">
        <v>0</v>
      </c>
      <c r="CU71" s="428">
        <v>0</v>
      </c>
      <c r="CV71" s="428">
        <v>0</v>
      </c>
      <c r="CW71" s="428">
        <v>0</v>
      </c>
      <c r="CX71" s="428">
        <v>0</v>
      </c>
      <c r="CY71" s="428">
        <v>0</v>
      </c>
      <c r="CZ71" s="428">
        <v>0</v>
      </c>
      <c r="DA71" s="428">
        <v>0</v>
      </c>
      <c r="DB71" s="428">
        <v>0</v>
      </c>
      <c r="DC71" s="428">
        <v>0</v>
      </c>
      <c r="DD71" s="428">
        <v>0</v>
      </c>
      <c r="DE71" s="428">
        <v>0</v>
      </c>
      <c r="DF71" s="428">
        <v>0</v>
      </c>
      <c r="DG71" s="428">
        <v>0</v>
      </c>
      <c r="DH71" s="428">
        <v>0</v>
      </c>
      <c r="DI71" s="428">
        <v>0</v>
      </c>
      <c r="DJ71" s="428">
        <v>0</v>
      </c>
      <c r="DK71" s="428">
        <v>0</v>
      </c>
      <c r="DL71" s="428">
        <v>0</v>
      </c>
      <c r="DM71" s="428">
        <v>0</v>
      </c>
      <c r="DN71" s="428">
        <v>0</v>
      </c>
      <c r="DO71" s="428">
        <v>0</v>
      </c>
      <c r="DP71" s="428">
        <v>0</v>
      </c>
      <c r="DQ71" s="428">
        <v>0</v>
      </c>
      <c r="DR71" s="428">
        <v>0</v>
      </c>
      <c r="DS71" s="428">
        <v>0</v>
      </c>
      <c r="DT71" s="428">
        <v>0</v>
      </c>
      <c r="DU71" s="428">
        <v>0</v>
      </c>
      <c r="DV71" s="428">
        <v>0</v>
      </c>
      <c r="ED71" s="135"/>
      <c r="EE71" s="357" t="s">
        <v>645</v>
      </c>
      <c r="EF71" s="426" t="s">
        <v>777</v>
      </c>
      <c r="EG71" s="426">
        <v>2</v>
      </c>
      <c r="EH71" s="426">
        <v>43</v>
      </c>
      <c r="EI71" s="208" t="str">
        <f t="shared" si="5"/>
        <v>CLX200243</v>
      </c>
      <c r="EJ71" s="426">
        <v>402.8</v>
      </c>
      <c r="EK71" s="426">
        <v>805.6</v>
      </c>
      <c r="EL71" s="426">
        <v>1208.4000000000001</v>
      </c>
      <c r="EM71" s="426">
        <v>1611.2</v>
      </c>
      <c r="EN71" s="426">
        <v>2014</v>
      </c>
      <c r="EO71" s="426">
        <v>2416.8000000000002</v>
      </c>
      <c r="EP71" s="426">
        <v>2819.6</v>
      </c>
      <c r="EQ71" s="426">
        <v>3222.4</v>
      </c>
      <c r="ER71" s="426">
        <v>3625.2</v>
      </c>
      <c r="ES71" s="426">
        <v>4028</v>
      </c>
      <c r="ET71" s="426">
        <v>4430.8</v>
      </c>
      <c r="EU71" s="426">
        <v>4833.6000000000004</v>
      </c>
      <c r="EV71" s="426">
        <v>5236.3999999999996</v>
      </c>
      <c r="EW71" s="426">
        <v>5639.2</v>
      </c>
      <c r="EX71" s="426">
        <v>6042</v>
      </c>
      <c r="EY71" s="426">
        <v>6444.8</v>
      </c>
      <c r="EZ71" s="426">
        <v>6847.6</v>
      </c>
      <c r="FA71" s="426">
        <v>7250.4</v>
      </c>
      <c r="FB71" s="426">
        <v>7653.2</v>
      </c>
      <c r="FC71" s="426">
        <v>8056</v>
      </c>
      <c r="FD71" s="426">
        <v>8056</v>
      </c>
      <c r="FE71" s="426">
        <v>8056</v>
      </c>
      <c r="FF71" s="426">
        <v>8056</v>
      </c>
      <c r="FG71" s="426">
        <v>8056</v>
      </c>
      <c r="FH71" s="426">
        <v>8056</v>
      </c>
      <c r="FI71" s="426">
        <v>8056</v>
      </c>
      <c r="FJ71" s="426">
        <v>8056</v>
      </c>
      <c r="FK71" s="426">
        <v>8056</v>
      </c>
      <c r="FL71" s="426">
        <v>8056</v>
      </c>
      <c r="FM71" s="426">
        <v>8056</v>
      </c>
      <c r="FN71" s="426">
        <v>8056</v>
      </c>
      <c r="FO71" s="426">
        <v>8056</v>
      </c>
      <c r="FP71" s="426">
        <v>8056</v>
      </c>
      <c r="FQ71" s="426">
        <v>8056</v>
      </c>
      <c r="FR71" s="426">
        <v>8056</v>
      </c>
      <c r="FS71" s="426">
        <v>8056</v>
      </c>
      <c r="FT71" s="426">
        <v>8056</v>
      </c>
      <c r="FU71" s="426">
        <v>8056</v>
      </c>
      <c r="FV71" s="426">
        <v>8056</v>
      </c>
      <c r="FW71" s="426">
        <v>8056</v>
      </c>
      <c r="FX71" s="426">
        <v>8056</v>
      </c>
      <c r="FY71" s="426">
        <v>8056</v>
      </c>
      <c r="FZ71" s="426">
        <v>8056</v>
      </c>
      <c r="GA71" s="426">
        <v>8056</v>
      </c>
      <c r="GB71" s="426">
        <v>8056</v>
      </c>
      <c r="GC71" s="426">
        <v>8056</v>
      </c>
      <c r="GD71" s="426">
        <v>8056</v>
      </c>
      <c r="GE71" s="426">
        <v>0</v>
      </c>
      <c r="GF71" s="426">
        <v>0</v>
      </c>
      <c r="GG71" s="426">
        <v>0</v>
      </c>
      <c r="GH71" s="426">
        <v>0</v>
      </c>
      <c r="GI71" s="426">
        <v>0</v>
      </c>
      <c r="GJ71" s="426">
        <v>0</v>
      </c>
      <c r="GK71" s="426">
        <v>0</v>
      </c>
      <c r="GL71" s="426">
        <v>0</v>
      </c>
      <c r="GM71" s="426">
        <v>0</v>
      </c>
      <c r="GN71" s="426">
        <v>0</v>
      </c>
      <c r="GO71" s="426">
        <v>0</v>
      </c>
      <c r="GP71" s="426">
        <v>0</v>
      </c>
      <c r="GQ71" s="426">
        <v>0</v>
      </c>
      <c r="GR71" s="426">
        <v>0</v>
      </c>
      <c r="GS71" s="426">
        <v>0</v>
      </c>
      <c r="GT71" s="426">
        <v>0</v>
      </c>
      <c r="GU71" s="426">
        <v>0</v>
      </c>
      <c r="GV71" s="426">
        <v>0</v>
      </c>
      <c r="GW71" s="426">
        <v>0</v>
      </c>
      <c r="GX71" s="426">
        <v>0</v>
      </c>
      <c r="GY71" s="426">
        <v>0</v>
      </c>
      <c r="GZ71" s="426">
        <v>0</v>
      </c>
      <c r="HA71" s="426">
        <v>0</v>
      </c>
      <c r="HB71" s="426">
        <v>0</v>
      </c>
      <c r="HC71" s="426">
        <v>0</v>
      </c>
      <c r="HD71" s="426">
        <v>0</v>
      </c>
      <c r="HE71" s="426">
        <v>0</v>
      </c>
      <c r="HF71" s="426">
        <v>0</v>
      </c>
      <c r="HG71" s="426">
        <v>0</v>
      </c>
      <c r="HH71" s="426">
        <v>0</v>
      </c>
      <c r="HI71" s="426">
        <v>0</v>
      </c>
      <c r="HJ71" s="426">
        <v>0</v>
      </c>
      <c r="HK71" s="426">
        <v>0</v>
      </c>
      <c r="HL71" s="426">
        <v>0</v>
      </c>
      <c r="HM71" s="426">
        <v>0</v>
      </c>
      <c r="HN71" s="426">
        <v>0</v>
      </c>
      <c r="HO71" s="426">
        <v>0</v>
      </c>
      <c r="HP71" s="426">
        <v>0</v>
      </c>
      <c r="HQ71" s="426">
        <v>0</v>
      </c>
      <c r="HR71" s="426">
        <v>0</v>
      </c>
      <c r="HS71" s="426">
        <v>0</v>
      </c>
      <c r="HT71" s="426">
        <v>0</v>
      </c>
      <c r="HU71" s="426">
        <v>0</v>
      </c>
      <c r="HV71" s="426">
        <v>0</v>
      </c>
      <c r="HW71" s="426">
        <v>0</v>
      </c>
      <c r="HX71" s="426">
        <v>0</v>
      </c>
      <c r="HY71" s="426">
        <v>0</v>
      </c>
      <c r="HZ71" s="426">
        <v>0</v>
      </c>
      <c r="IA71" s="426">
        <v>0</v>
      </c>
      <c r="IB71" s="426">
        <v>0</v>
      </c>
      <c r="IC71" s="426">
        <v>0</v>
      </c>
      <c r="ID71" s="426">
        <v>0</v>
      </c>
      <c r="IE71" s="426">
        <v>0</v>
      </c>
      <c r="IF71" s="426">
        <v>0</v>
      </c>
      <c r="IG71" s="426">
        <v>0</v>
      </c>
      <c r="IH71" s="426">
        <v>0</v>
      </c>
      <c r="II71" s="426">
        <v>0</v>
      </c>
      <c r="IJ71" s="426">
        <v>0</v>
      </c>
      <c r="IK71" s="426">
        <v>0</v>
      </c>
      <c r="IL71" s="426">
        <v>0</v>
      </c>
      <c r="IM71" s="426">
        <v>0</v>
      </c>
      <c r="IN71" s="426">
        <v>0</v>
      </c>
      <c r="IO71" s="426">
        <v>0</v>
      </c>
      <c r="IP71" s="426">
        <v>0</v>
      </c>
    </row>
    <row r="72" spans="1:250" ht="15">
      <c r="A72" s="357" t="s">
        <v>645</v>
      </c>
      <c r="B72" s="427" t="s">
        <v>777</v>
      </c>
      <c r="C72" s="427"/>
      <c r="D72" s="427"/>
      <c r="E72" s="427"/>
      <c r="F72" s="427">
        <v>2</v>
      </c>
      <c r="G72" s="427"/>
      <c r="H72" s="427">
        <v>44</v>
      </c>
      <c r="I72" s="427"/>
      <c r="J72" t="str">
        <f t="shared" si="3"/>
        <v>CLX200244</v>
      </c>
      <c r="K72" s="427">
        <v>390</v>
      </c>
      <c r="R72" s="357" t="s">
        <v>645</v>
      </c>
      <c r="S72" s="428" t="s">
        <v>777</v>
      </c>
      <c r="T72" s="428">
        <v>2</v>
      </c>
      <c r="U72" s="428">
        <v>44</v>
      </c>
      <c r="V72" s="208" t="str">
        <f t="shared" si="4"/>
        <v>CLX200244</v>
      </c>
      <c r="W72" s="428">
        <v>0</v>
      </c>
      <c r="X72" s="428">
        <v>0</v>
      </c>
      <c r="Y72" s="428">
        <v>0</v>
      </c>
      <c r="Z72" s="428">
        <v>0</v>
      </c>
      <c r="AA72" s="428">
        <v>0</v>
      </c>
      <c r="AB72" s="428">
        <v>0</v>
      </c>
      <c r="AC72" s="428">
        <v>0</v>
      </c>
      <c r="AD72" s="428">
        <v>0</v>
      </c>
      <c r="AE72" s="428">
        <v>0</v>
      </c>
      <c r="AF72" s="428">
        <v>0</v>
      </c>
      <c r="AG72" s="428">
        <v>0</v>
      </c>
      <c r="AH72" s="428">
        <v>0</v>
      </c>
      <c r="AI72" s="428">
        <v>0</v>
      </c>
      <c r="AJ72" s="428">
        <v>0</v>
      </c>
      <c r="AK72" s="428">
        <v>0</v>
      </c>
      <c r="AL72" s="428">
        <v>0</v>
      </c>
      <c r="AM72" s="428">
        <v>0</v>
      </c>
      <c r="AN72" s="428">
        <v>0</v>
      </c>
      <c r="AO72" s="428">
        <v>0</v>
      </c>
      <c r="AP72" s="428">
        <v>0</v>
      </c>
      <c r="AQ72" s="428">
        <v>0</v>
      </c>
      <c r="AR72" s="428">
        <v>0</v>
      </c>
      <c r="AS72" s="428">
        <v>0</v>
      </c>
      <c r="AT72" s="428">
        <v>0</v>
      </c>
      <c r="AU72" s="428">
        <v>0</v>
      </c>
      <c r="AV72" s="428">
        <v>0</v>
      </c>
      <c r="AW72" s="428">
        <v>0</v>
      </c>
      <c r="AX72" s="428">
        <v>0</v>
      </c>
      <c r="AY72" s="428">
        <v>0</v>
      </c>
      <c r="AZ72" s="428">
        <v>0</v>
      </c>
      <c r="BA72" s="428">
        <v>0</v>
      </c>
      <c r="BB72" s="428">
        <v>0</v>
      </c>
      <c r="BC72" s="428">
        <v>0</v>
      </c>
      <c r="BD72" s="428">
        <v>0</v>
      </c>
      <c r="BE72" s="428">
        <v>0</v>
      </c>
      <c r="BF72" s="428">
        <v>0</v>
      </c>
      <c r="BG72" s="428">
        <v>0</v>
      </c>
      <c r="BH72" s="428">
        <v>0</v>
      </c>
      <c r="BI72" s="428">
        <v>0</v>
      </c>
      <c r="BJ72" s="428">
        <v>0</v>
      </c>
      <c r="BK72" s="428">
        <v>0</v>
      </c>
      <c r="BL72" s="428">
        <v>0</v>
      </c>
      <c r="BM72" s="428">
        <v>0</v>
      </c>
      <c r="BN72" s="428">
        <v>0</v>
      </c>
      <c r="BO72" s="428">
        <v>0</v>
      </c>
      <c r="BP72" s="428">
        <v>8268</v>
      </c>
      <c r="BQ72" s="428">
        <v>0</v>
      </c>
      <c r="BR72" s="428">
        <v>0</v>
      </c>
      <c r="BS72" s="428">
        <v>0</v>
      </c>
      <c r="BT72" s="428">
        <v>0</v>
      </c>
      <c r="BU72" s="428">
        <v>0</v>
      </c>
      <c r="BV72" s="428">
        <v>0</v>
      </c>
      <c r="BW72" s="428">
        <v>0</v>
      </c>
      <c r="BX72" s="428">
        <v>0</v>
      </c>
      <c r="BY72" s="428">
        <v>0</v>
      </c>
      <c r="BZ72" s="428">
        <v>0</v>
      </c>
      <c r="CA72" s="428">
        <v>0</v>
      </c>
      <c r="CB72" s="428">
        <v>0</v>
      </c>
      <c r="CC72" s="428">
        <v>0</v>
      </c>
      <c r="CD72" s="428">
        <v>0</v>
      </c>
      <c r="CE72" s="428">
        <v>0</v>
      </c>
      <c r="CF72" s="428">
        <v>0</v>
      </c>
      <c r="CG72" s="428">
        <v>0</v>
      </c>
      <c r="CH72" s="428">
        <v>0</v>
      </c>
      <c r="CI72" s="428">
        <v>0</v>
      </c>
      <c r="CJ72" s="428">
        <v>0</v>
      </c>
      <c r="CK72" s="428">
        <v>0</v>
      </c>
      <c r="CL72" s="428">
        <v>0</v>
      </c>
      <c r="CM72" s="428">
        <v>0</v>
      </c>
      <c r="CN72" s="428">
        <v>0</v>
      </c>
      <c r="CO72" s="428">
        <v>0</v>
      </c>
      <c r="CP72" s="428">
        <v>0</v>
      </c>
      <c r="CQ72" s="428">
        <v>0</v>
      </c>
      <c r="CR72" s="428">
        <v>0</v>
      </c>
      <c r="CS72" s="428">
        <v>0</v>
      </c>
      <c r="CT72" s="428">
        <v>0</v>
      </c>
      <c r="CU72" s="428">
        <v>0</v>
      </c>
      <c r="CV72" s="428">
        <v>0</v>
      </c>
      <c r="CW72" s="428">
        <v>0</v>
      </c>
      <c r="CX72" s="428">
        <v>0</v>
      </c>
      <c r="CY72" s="428">
        <v>0</v>
      </c>
      <c r="CZ72" s="428">
        <v>0</v>
      </c>
      <c r="DA72" s="428">
        <v>0</v>
      </c>
      <c r="DB72" s="428">
        <v>0</v>
      </c>
      <c r="DC72" s="428">
        <v>0</v>
      </c>
      <c r="DD72" s="428">
        <v>0</v>
      </c>
      <c r="DE72" s="428">
        <v>0</v>
      </c>
      <c r="DF72" s="428">
        <v>0</v>
      </c>
      <c r="DG72" s="428">
        <v>0</v>
      </c>
      <c r="DH72" s="428">
        <v>0</v>
      </c>
      <c r="DI72" s="428">
        <v>0</v>
      </c>
      <c r="DJ72" s="428">
        <v>0</v>
      </c>
      <c r="DK72" s="428">
        <v>0</v>
      </c>
      <c r="DL72" s="428">
        <v>0</v>
      </c>
      <c r="DM72" s="428">
        <v>0</v>
      </c>
      <c r="DN72" s="428">
        <v>0</v>
      </c>
      <c r="DO72" s="428">
        <v>0</v>
      </c>
      <c r="DP72" s="428">
        <v>0</v>
      </c>
      <c r="DQ72" s="428">
        <v>0</v>
      </c>
      <c r="DR72" s="428">
        <v>0</v>
      </c>
      <c r="DS72" s="428">
        <v>0</v>
      </c>
      <c r="DT72" s="428">
        <v>0</v>
      </c>
      <c r="DU72" s="428">
        <v>0</v>
      </c>
      <c r="DV72" s="428">
        <v>0</v>
      </c>
      <c r="ED72" s="135"/>
      <c r="EE72" s="357" t="s">
        <v>645</v>
      </c>
      <c r="EF72" s="426" t="s">
        <v>777</v>
      </c>
      <c r="EG72" s="426">
        <v>2</v>
      </c>
      <c r="EH72" s="426">
        <v>44</v>
      </c>
      <c r="EI72" s="208" t="str">
        <f t="shared" si="5"/>
        <v>CLX200244</v>
      </c>
      <c r="EJ72" s="426">
        <v>413.4</v>
      </c>
      <c r="EK72" s="426">
        <v>826.8</v>
      </c>
      <c r="EL72" s="426">
        <v>1240.2</v>
      </c>
      <c r="EM72" s="426">
        <v>1653.6</v>
      </c>
      <c r="EN72" s="426">
        <v>2067</v>
      </c>
      <c r="EO72" s="426">
        <v>2480.4</v>
      </c>
      <c r="EP72" s="426">
        <v>2893.8</v>
      </c>
      <c r="EQ72" s="426">
        <v>3307.2</v>
      </c>
      <c r="ER72" s="426">
        <v>3720.6</v>
      </c>
      <c r="ES72" s="426">
        <v>4134</v>
      </c>
      <c r="ET72" s="426">
        <v>4547.3999999999996</v>
      </c>
      <c r="EU72" s="426">
        <v>4960.8</v>
      </c>
      <c r="EV72" s="426">
        <v>5374.2</v>
      </c>
      <c r="EW72" s="426">
        <v>5787.6</v>
      </c>
      <c r="EX72" s="426">
        <v>6201</v>
      </c>
      <c r="EY72" s="426">
        <v>6614.4</v>
      </c>
      <c r="EZ72" s="426">
        <v>7027.8</v>
      </c>
      <c r="FA72" s="426">
        <v>7441.2</v>
      </c>
      <c r="FB72" s="426">
        <v>7854.6</v>
      </c>
      <c r="FC72" s="426">
        <v>8268</v>
      </c>
      <c r="FD72" s="426">
        <v>8268</v>
      </c>
      <c r="FE72" s="426">
        <v>8268</v>
      </c>
      <c r="FF72" s="426">
        <v>8268</v>
      </c>
      <c r="FG72" s="426">
        <v>8268</v>
      </c>
      <c r="FH72" s="426">
        <v>8268</v>
      </c>
      <c r="FI72" s="426">
        <v>8268</v>
      </c>
      <c r="FJ72" s="426">
        <v>8268</v>
      </c>
      <c r="FK72" s="426">
        <v>8268</v>
      </c>
      <c r="FL72" s="426">
        <v>8268</v>
      </c>
      <c r="FM72" s="426">
        <v>8268</v>
      </c>
      <c r="FN72" s="426">
        <v>8268</v>
      </c>
      <c r="FO72" s="426">
        <v>8268</v>
      </c>
      <c r="FP72" s="426">
        <v>8268</v>
      </c>
      <c r="FQ72" s="426">
        <v>8268</v>
      </c>
      <c r="FR72" s="426">
        <v>8268</v>
      </c>
      <c r="FS72" s="426">
        <v>8268</v>
      </c>
      <c r="FT72" s="426">
        <v>8268</v>
      </c>
      <c r="FU72" s="426">
        <v>8268</v>
      </c>
      <c r="FV72" s="426">
        <v>8268</v>
      </c>
      <c r="FW72" s="426">
        <v>8268</v>
      </c>
      <c r="FX72" s="426">
        <v>8268</v>
      </c>
      <c r="FY72" s="426">
        <v>8268</v>
      </c>
      <c r="FZ72" s="426">
        <v>8268</v>
      </c>
      <c r="GA72" s="426">
        <v>8268</v>
      </c>
      <c r="GB72" s="426">
        <v>8268</v>
      </c>
      <c r="GC72" s="426">
        <v>8268</v>
      </c>
      <c r="GD72" s="426">
        <v>0</v>
      </c>
      <c r="GE72" s="426">
        <v>0</v>
      </c>
      <c r="GF72" s="426">
        <v>0</v>
      </c>
      <c r="GG72" s="426">
        <v>0</v>
      </c>
      <c r="GH72" s="426">
        <v>0</v>
      </c>
      <c r="GI72" s="426">
        <v>0</v>
      </c>
      <c r="GJ72" s="426">
        <v>0</v>
      </c>
      <c r="GK72" s="426">
        <v>0</v>
      </c>
      <c r="GL72" s="426">
        <v>0</v>
      </c>
      <c r="GM72" s="426">
        <v>0</v>
      </c>
      <c r="GN72" s="426">
        <v>0</v>
      </c>
      <c r="GO72" s="426">
        <v>0</v>
      </c>
      <c r="GP72" s="426">
        <v>0</v>
      </c>
      <c r="GQ72" s="426">
        <v>0</v>
      </c>
      <c r="GR72" s="426">
        <v>0</v>
      </c>
      <c r="GS72" s="426">
        <v>0</v>
      </c>
      <c r="GT72" s="426">
        <v>0</v>
      </c>
      <c r="GU72" s="426">
        <v>0</v>
      </c>
      <c r="GV72" s="426">
        <v>0</v>
      </c>
      <c r="GW72" s="426">
        <v>0</v>
      </c>
      <c r="GX72" s="426">
        <v>0</v>
      </c>
      <c r="GY72" s="426">
        <v>0</v>
      </c>
      <c r="GZ72" s="426">
        <v>0</v>
      </c>
      <c r="HA72" s="426">
        <v>0</v>
      </c>
      <c r="HB72" s="426">
        <v>0</v>
      </c>
      <c r="HC72" s="426">
        <v>0</v>
      </c>
      <c r="HD72" s="426">
        <v>0</v>
      </c>
      <c r="HE72" s="426">
        <v>0</v>
      </c>
      <c r="HF72" s="426">
        <v>0</v>
      </c>
      <c r="HG72" s="426">
        <v>0</v>
      </c>
      <c r="HH72" s="426">
        <v>0</v>
      </c>
      <c r="HI72" s="426">
        <v>0</v>
      </c>
      <c r="HJ72" s="426">
        <v>0</v>
      </c>
      <c r="HK72" s="426">
        <v>0</v>
      </c>
      <c r="HL72" s="426">
        <v>0</v>
      </c>
      <c r="HM72" s="426">
        <v>0</v>
      </c>
      <c r="HN72" s="426">
        <v>0</v>
      </c>
      <c r="HO72" s="426">
        <v>0</v>
      </c>
      <c r="HP72" s="426">
        <v>0</v>
      </c>
      <c r="HQ72" s="426">
        <v>0</v>
      </c>
      <c r="HR72" s="426">
        <v>0</v>
      </c>
      <c r="HS72" s="426">
        <v>0</v>
      </c>
      <c r="HT72" s="426">
        <v>0</v>
      </c>
      <c r="HU72" s="426">
        <v>0</v>
      </c>
      <c r="HV72" s="426">
        <v>0</v>
      </c>
      <c r="HW72" s="426">
        <v>0</v>
      </c>
      <c r="HX72" s="426">
        <v>0</v>
      </c>
      <c r="HY72" s="426">
        <v>0</v>
      </c>
      <c r="HZ72" s="426">
        <v>0</v>
      </c>
      <c r="IA72" s="426">
        <v>0</v>
      </c>
      <c r="IB72" s="426">
        <v>0</v>
      </c>
      <c r="IC72" s="426">
        <v>0</v>
      </c>
      <c r="ID72" s="426">
        <v>0</v>
      </c>
      <c r="IE72" s="426">
        <v>0</v>
      </c>
      <c r="IF72" s="426">
        <v>0</v>
      </c>
      <c r="IG72" s="426">
        <v>0</v>
      </c>
      <c r="IH72" s="426">
        <v>0</v>
      </c>
      <c r="II72" s="426">
        <v>0</v>
      </c>
      <c r="IJ72" s="426">
        <v>0</v>
      </c>
      <c r="IK72" s="426">
        <v>0</v>
      </c>
      <c r="IL72" s="426">
        <v>0</v>
      </c>
      <c r="IM72" s="426">
        <v>0</v>
      </c>
      <c r="IN72" s="426">
        <v>0</v>
      </c>
      <c r="IO72" s="426">
        <v>0</v>
      </c>
      <c r="IP72" s="426">
        <v>0</v>
      </c>
    </row>
    <row r="73" spans="1:250" ht="15">
      <c r="A73" s="357" t="s">
        <v>645</v>
      </c>
      <c r="B73" s="427" t="s">
        <v>777</v>
      </c>
      <c r="C73" s="427"/>
      <c r="D73" s="427"/>
      <c r="E73" s="427"/>
      <c r="F73" s="427">
        <v>2</v>
      </c>
      <c r="G73" s="427"/>
      <c r="H73" s="427">
        <v>45</v>
      </c>
      <c r="I73" s="427"/>
      <c r="J73" t="str">
        <f t="shared" si="3"/>
        <v>CLX200245</v>
      </c>
      <c r="K73" s="427">
        <v>400</v>
      </c>
      <c r="R73" s="357" t="s">
        <v>645</v>
      </c>
      <c r="S73" s="428" t="s">
        <v>777</v>
      </c>
      <c r="T73" s="428">
        <v>2</v>
      </c>
      <c r="U73" s="428">
        <v>45</v>
      </c>
      <c r="V73" s="208" t="str">
        <f t="shared" si="4"/>
        <v>CLX200245</v>
      </c>
      <c r="W73" s="428">
        <v>0</v>
      </c>
      <c r="X73" s="428">
        <v>0</v>
      </c>
      <c r="Y73" s="428">
        <v>0</v>
      </c>
      <c r="Z73" s="428">
        <v>0</v>
      </c>
      <c r="AA73" s="428">
        <v>0</v>
      </c>
      <c r="AB73" s="428">
        <v>0</v>
      </c>
      <c r="AC73" s="428">
        <v>0</v>
      </c>
      <c r="AD73" s="428">
        <v>0</v>
      </c>
      <c r="AE73" s="428">
        <v>0</v>
      </c>
      <c r="AF73" s="428">
        <v>0</v>
      </c>
      <c r="AG73" s="428">
        <v>0</v>
      </c>
      <c r="AH73" s="428">
        <v>0</v>
      </c>
      <c r="AI73" s="428">
        <v>0</v>
      </c>
      <c r="AJ73" s="428">
        <v>0</v>
      </c>
      <c r="AK73" s="428">
        <v>0</v>
      </c>
      <c r="AL73" s="428">
        <v>0</v>
      </c>
      <c r="AM73" s="428">
        <v>0</v>
      </c>
      <c r="AN73" s="428">
        <v>0</v>
      </c>
      <c r="AO73" s="428">
        <v>0</v>
      </c>
      <c r="AP73" s="428">
        <v>0</v>
      </c>
      <c r="AQ73" s="428">
        <v>0</v>
      </c>
      <c r="AR73" s="428">
        <v>0</v>
      </c>
      <c r="AS73" s="428">
        <v>0</v>
      </c>
      <c r="AT73" s="428">
        <v>0</v>
      </c>
      <c r="AU73" s="428">
        <v>0</v>
      </c>
      <c r="AV73" s="428">
        <v>0</v>
      </c>
      <c r="AW73" s="428">
        <v>0</v>
      </c>
      <c r="AX73" s="428">
        <v>0</v>
      </c>
      <c r="AY73" s="428">
        <v>0</v>
      </c>
      <c r="AZ73" s="428">
        <v>0</v>
      </c>
      <c r="BA73" s="428">
        <v>0</v>
      </c>
      <c r="BB73" s="428">
        <v>0</v>
      </c>
      <c r="BC73" s="428">
        <v>0</v>
      </c>
      <c r="BD73" s="428">
        <v>0</v>
      </c>
      <c r="BE73" s="428">
        <v>0</v>
      </c>
      <c r="BF73" s="428">
        <v>0</v>
      </c>
      <c r="BG73" s="428">
        <v>0</v>
      </c>
      <c r="BH73" s="428">
        <v>0</v>
      </c>
      <c r="BI73" s="428">
        <v>0</v>
      </c>
      <c r="BJ73" s="428">
        <v>0</v>
      </c>
      <c r="BK73" s="428">
        <v>0</v>
      </c>
      <c r="BL73" s="428">
        <v>0</v>
      </c>
      <c r="BM73" s="428">
        <v>0</v>
      </c>
      <c r="BN73" s="428">
        <v>0</v>
      </c>
      <c r="BO73" s="428">
        <v>8480</v>
      </c>
      <c r="BP73" s="428">
        <v>0</v>
      </c>
      <c r="BQ73" s="428">
        <v>0</v>
      </c>
      <c r="BR73" s="428">
        <v>0</v>
      </c>
      <c r="BS73" s="428">
        <v>0</v>
      </c>
      <c r="BT73" s="428">
        <v>0</v>
      </c>
      <c r="BU73" s="428">
        <v>0</v>
      </c>
      <c r="BV73" s="428">
        <v>0</v>
      </c>
      <c r="BW73" s="428">
        <v>0</v>
      </c>
      <c r="BX73" s="428">
        <v>0</v>
      </c>
      <c r="BY73" s="428">
        <v>0</v>
      </c>
      <c r="BZ73" s="428">
        <v>0</v>
      </c>
      <c r="CA73" s="428">
        <v>0</v>
      </c>
      <c r="CB73" s="428">
        <v>0</v>
      </c>
      <c r="CC73" s="428">
        <v>0</v>
      </c>
      <c r="CD73" s="428">
        <v>0</v>
      </c>
      <c r="CE73" s="428">
        <v>0</v>
      </c>
      <c r="CF73" s="428">
        <v>0</v>
      </c>
      <c r="CG73" s="428">
        <v>0</v>
      </c>
      <c r="CH73" s="428">
        <v>0</v>
      </c>
      <c r="CI73" s="428">
        <v>0</v>
      </c>
      <c r="CJ73" s="428">
        <v>0</v>
      </c>
      <c r="CK73" s="428">
        <v>0</v>
      </c>
      <c r="CL73" s="428">
        <v>0</v>
      </c>
      <c r="CM73" s="428">
        <v>0</v>
      </c>
      <c r="CN73" s="428">
        <v>0</v>
      </c>
      <c r="CO73" s="428">
        <v>0</v>
      </c>
      <c r="CP73" s="428">
        <v>0</v>
      </c>
      <c r="CQ73" s="428">
        <v>0</v>
      </c>
      <c r="CR73" s="428">
        <v>0</v>
      </c>
      <c r="CS73" s="428">
        <v>0</v>
      </c>
      <c r="CT73" s="428">
        <v>0</v>
      </c>
      <c r="CU73" s="428">
        <v>0</v>
      </c>
      <c r="CV73" s="428">
        <v>0</v>
      </c>
      <c r="CW73" s="428">
        <v>0</v>
      </c>
      <c r="CX73" s="428">
        <v>0</v>
      </c>
      <c r="CY73" s="428">
        <v>0</v>
      </c>
      <c r="CZ73" s="428">
        <v>0</v>
      </c>
      <c r="DA73" s="428">
        <v>0</v>
      </c>
      <c r="DB73" s="428">
        <v>0</v>
      </c>
      <c r="DC73" s="428">
        <v>0</v>
      </c>
      <c r="DD73" s="428">
        <v>0</v>
      </c>
      <c r="DE73" s="428">
        <v>0</v>
      </c>
      <c r="DF73" s="428">
        <v>0</v>
      </c>
      <c r="DG73" s="428">
        <v>0</v>
      </c>
      <c r="DH73" s="428">
        <v>0</v>
      </c>
      <c r="DI73" s="428">
        <v>0</v>
      </c>
      <c r="DJ73" s="428">
        <v>0</v>
      </c>
      <c r="DK73" s="428">
        <v>0</v>
      </c>
      <c r="DL73" s="428">
        <v>0</v>
      </c>
      <c r="DM73" s="428">
        <v>0</v>
      </c>
      <c r="DN73" s="428">
        <v>0</v>
      </c>
      <c r="DO73" s="428">
        <v>0</v>
      </c>
      <c r="DP73" s="428">
        <v>0</v>
      </c>
      <c r="DQ73" s="428">
        <v>0</v>
      </c>
      <c r="DR73" s="428">
        <v>0</v>
      </c>
      <c r="DS73" s="428">
        <v>0</v>
      </c>
      <c r="DT73" s="428">
        <v>0</v>
      </c>
      <c r="DU73" s="428">
        <v>0</v>
      </c>
      <c r="DV73" s="428">
        <v>0</v>
      </c>
      <c r="ED73" s="135"/>
      <c r="EE73" s="357" t="s">
        <v>645</v>
      </c>
      <c r="EF73" s="426" t="s">
        <v>777</v>
      </c>
      <c r="EG73" s="426">
        <v>2</v>
      </c>
      <c r="EH73" s="426">
        <v>45</v>
      </c>
      <c r="EI73" s="208" t="str">
        <f t="shared" si="5"/>
        <v>CLX200245</v>
      </c>
      <c r="EJ73" s="426">
        <v>424</v>
      </c>
      <c r="EK73" s="426">
        <v>848</v>
      </c>
      <c r="EL73" s="426">
        <v>1272</v>
      </c>
      <c r="EM73" s="426">
        <v>1696</v>
      </c>
      <c r="EN73" s="426">
        <v>2120</v>
      </c>
      <c r="EO73" s="426">
        <v>2544</v>
      </c>
      <c r="EP73" s="426">
        <v>2968</v>
      </c>
      <c r="EQ73" s="426">
        <v>3392</v>
      </c>
      <c r="ER73" s="426">
        <v>3816</v>
      </c>
      <c r="ES73" s="426">
        <v>4240</v>
      </c>
      <c r="ET73" s="426">
        <v>4664</v>
      </c>
      <c r="EU73" s="426">
        <v>5088</v>
      </c>
      <c r="EV73" s="426">
        <v>5512</v>
      </c>
      <c r="EW73" s="426">
        <v>5936</v>
      </c>
      <c r="EX73" s="426">
        <v>6360</v>
      </c>
      <c r="EY73" s="426">
        <v>6784</v>
      </c>
      <c r="EZ73" s="426">
        <v>7208</v>
      </c>
      <c r="FA73" s="426">
        <v>7632</v>
      </c>
      <c r="FB73" s="426">
        <v>8056</v>
      </c>
      <c r="FC73" s="426">
        <v>8480</v>
      </c>
      <c r="FD73" s="426">
        <v>8480</v>
      </c>
      <c r="FE73" s="426">
        <v>8480</v>
      </c>
      <c r="FF73" s="426">
        <v>8480</v>
      </c>
      <c r="FG73" s="426">
        <v>8480</v>
      </c>
      <c r="FH73" s="426">
        <v>8480</v>
      </c>
      <c r="FI73" s="426">
        <v>8480</v>
      </c>
      <c r="FJ73" s="426">
        <v>8480</v>
      </c>
      <c r="FK73" s="426">
        <v>8480</v>
      </c>
      <c r="FL73" s="426">
        <v>8480</v>
      </c>
      <c r="FM73" s="426">
        <v>8480</v>
      </c>
      <c r="FN73" s="426">
        <v>8480</v>
      </c>
      <c r="FO73" s="426">
        <v>8480</v>
      </c>
      <c r="FP73" s="426">
        <v>8480</v>
      </c>
      <c r="FQ73" s="426">
        <v>8480</v>
      </c>
      <c r="FR73" s="426">
        <v>8480</v>
      </c>
      <c r="FS73" s="426">
        <v>8480</v>
      </c>
      <c r="FT73" s="426">
        <v>8480</v>
      </c>
      <c r="FU73" s="426">
        <v>8480</v>
      </c>
      <c r="FV73" s="426">
        <v>8480</v>
      </c>
      <c r="FW73" s="426">
        <v>8480</v>
      </c>
      <c r="FX73" s="426">
        <v>8480</v>
      </c>
      <c r="FY73" s="426">
        <v>8480</v>
      </c>
      <c r="FZ73" s="426">
        <v>8480</v>
      </c>
      <c r="GA73" s="426">
        <v>8480</v>
      </c>
      <c r="GB73" s="426">
        <v>8480</v>
      </c>
      <c r="GC73" s="426">
        <v>0</v>
      </c>
      <c r="GD73" s="426">
        <v>0</v>
      </c>
      <c r="GE73" s="426">
        <v>0</v>
      </c>
      <c r="GF73" s="426">
        <v>0</v>
      </c>
      <c r="GG73" s="426">
        <v>0</v>
      </c>
      <c r="GH73" s="426">
        <v>0</v>
      </c>
      <c r="GI73" s="426">
        <v>0</v>
      </c>
      <c r="GJ73" s="426">
        <v>0</v>
      </c>
      <c r="GK73" s="426">
        <v>0</v>
      </c>
      <c r="GL73" s="426">
        <v>0</v>
      </c>
      <c r="GM73" s="426">
        <v>0</v>
      </c>
      <c r="GN73" s="426">
        <v>0</v>
      </c>
      <c r="GO73" s="426">
        <v>0</v>
      </c>
      <c r="GP73" s="426">
        <v>0</v>
      </c>
      <c r="GQ73" s="426">
        <v>0</v>
      </c>
      <c r="GR73" s="426">
        <v>0</v>
      </c>
      <c r="GS73" s="426">
        <v>0</v>
      </c>
      <c r="GT73" s="426">
        <v>0</v>
      </c>
      <c r="GU73" s="426">
        <v>0</v>
      </c>
      <c r="GV73" s="426">
        <v>0</v>
      </c>
      <c r="GW73" s="426">
        <v>0</v>
      </c>
      <c r="GX73" s="426">
        <v>0</v>
      </c>
      <c r="GY73" s="426">
        <v>0</v>
      </c>
      <c r="GZ73" s="426">
        <v>0</v>
      </c>
      <c r="HA73" s="426">
        <v>0</v>
      </c>
      <c r="HB73" s="426">
        <v>0</v>
      </c>
      <c r="HC73" s="426">
        <v>0</v>
      </c>
      <c r="HD73" s="426">
        <v>0</v>
      </c>
      <c r="HE73" s="426">
        <v>0</v>
      </c>
      <c r="HF73" s="426">
        <v>0</v>
      </c>
      <c r="HG73" s="426">
        <v>0</v>
      </c>
      <c r="HH73" s="426">
        <v>0</v>
      </c>
      <c r="HI73" s="426">
        <v>0</v>
      </c>
      <c r="HJ73" s="426">
        <v>0</v>
      </c>
      <c r="HK73" s="426">
        <v>0</v>
      </c>
      <c r="HL73" s="426">
        <v>0</v>
      </c>
      <c r="HM73" s="426">
        <v>0</v>
      </c>
      <c r="HN73" s="426">
        <v>0</v>
      </c>
      <c r="HO73" s="426">
        <v>0</v>
      </c>
      <c r="HP73" s="426">
        <v>0</v>
      </c>
      <c r="HQ73" s="426">
        <v>0</v>
      </c>
      <c r="HR73" s="426">
        <v>0</v>
      </c>
      <c r="HS73" s="426">
        <v>0</v>
      </c>
      <c r="HT73" s="426">
        <v>0</v>
      </c>
      <c r="HU73" s="426">
        <v>0</v>
      </c>
      <c r="HV73" s="426">
        <v>0</v>
      </c>
      <c r="HW73" s="426">
        <v>0</v>
      </c>
      <c r="HX73" s="426">
        <v>0</v>
      </c>
      <c r="HY73" s="426">
        <v>0</v>
      </c>
      <c r="HZ73" s="426">
        <v>0</v>
      </c>
      <c r="IA73" s="426">
        <v>0</v>
      </c>
      <c r="IB73" s="426">
        <v>0</v>
      </c>
      <c r="IC73" s="426">
        <v>0</v>
      </c>
      <c r="ID73" s="426">
        <v>0</v>
      </c>
      <c r="IE73" s="426">
        <v>0</v>
      </c>
      <c r="IF73" s="426">
        <v>0</v>
      </c>
      <c r="IG73" s="426">
        <v>0</v>
      </c>
      <c r="IH73" s="426">
        <v>0</v>
      </c>
      <c r="II73" s="426">
        <v>0</v>
      </c>
      <c r="IJ73" s="426">
        <v>0</v>
      </c>
      <c r="IK73" s="426">
        <v>0</v>
      </c>
      <c r="IL73" s="426">
        <v>0</v>
      </c>
      <c r="IM73" s="426">
        <v>0</v>
      </c>
      <c r="IN73" s="426">
        <v>0</v>
      </c>
      <c r="IO73" s="426">
        <v>0</v>
      </c>
      <c r="IP73" s="426">
        <v>0</v>
      </c>
    </row>
    <row r="74" spans="1:250" ht="15">
      <c r="A74" s="357" t="s">
        <v>645</v>
      </c>
      <c r="B74" s="427" t="s">
        <v>777</v>
      </c>
      <c r="C74" s="427"/>
      <c r="D74" s="427"/>
      <c r="E74" s="427"/>
      <c r="F74" s="427">
        <v>2</v>
      </c>
      <c r="G74" s="427"/>
      <c r="H74" s="427">
        <v>46</v>
      </c>
      <c r="I74" s="427"/>
      <c r="J74" t="str">
        <f t="shared" si="3"/>
        <v>CLX200246</v>
      </c>
      <c r="K74" s="427">
        <v>410</v>
      </c>
      <c r="R74" s="357" t="s">
        <v>645</v>
      </c>
      <c r="S74" s="428" t="s">
        <v>777</v>
      </c>
      <c r="T74" s="428">
        <v>2</v>
      </c>
      <c r="U74" s="428">
        <v>46</v>
      </c>
      <c r="V74" s="208" t="str">
        <f t="shared" si="4"/>
        <v>CLX200246</v>
      </c>
      <c r="W74" s="428">
        <v>0</v>
      </c>
      <c r="X74" s="428">
        <v>0</v>
      </c>
      <c r="Y74" s="428">
        <v>0</v>
      </c>
      <c r="Z74" s="428">
        <v>0</v>
      </c>
      <c r="AA74" s="428">
        <v>0</v>
      </c>
      <c r="AB74" s="428">
        <v>0</v>
      </c>
      <c r="AC74" s="428">
        <v>0</v>
      </c>
      <c r="AD74" s="428">
        <v>0</v>
      </c>
      <c r="AE74" s="428">
        <v>0</v>
      </c>
      <c r="AF74" s="428">
        <v>0</v>
      </c>
      <c r="AG74" s="428">
        <v>0</v>
      </c>
      <c r="AH74" s="428">
        <v>0</v>
      </c>
      <c r="AI74" s="428">
        <v>0</v>
      </c>
      <c r="AJ74" s="428">
        <v>0</v>
      </c>
      <c r="AK74" s="428">
        <v>0</v>
      </c>
      <c r="AL74" s="428">
        <v>0</v>
      </c>
      <c r="AM74" s="428">
        <v>0</v>
      </c>
      <c r="AN74" s="428">
        <v>0</v>
      </c>
      <c r="AO74" s="428">
        <v>0</v>
      </c>
      <c r="AP74" s="428">
        <v>0</v>
      </c>
      <c r="AQ74" s="428">
        <v>0</v>
      </c>
      <c r="AR74" s="428">
        <v>0</v>
      </c>
      <c r="AS74" s="428">
        <v>0</v>
      </c>
      <c r="AT74" s="428">
        <v>0</v>
      </c>
      <c r="AU74" s="428">
        <v>0</v>
      </c>
      <c r="AV74" s="428">
        <v>0</v>
      </c>
      <c r="AW74" s="428">
        <v>0</v>
      </c>
      <c r="AX74" s="428">
        <v>0</v>
      </c>
      <c r="AY74" s="428">
        <v>0</v>
      </c>
      <c r="AZ74" s="428">
        <v>0</v>
      </c>
      <c r="BA74" s="428">
        <v>0</v>
      </c>
      <c r="BB74" s="428">
        <v>0</v>
      </c>
      <c r="BC74" s="428">
        <v>0</v>
      </c>
      <c r="BD74" s="428">
        <v>0</v>
      </c>
      <c r="BE74" s="428">
        <v>0</v>
      </c>
      <c r="BF74" s="428">
        <v>0</v>
      </c>
      <c r="BG74" s="428">
        <v>0</v>
      </c>
      <c r="BH74" s="428">
        <v>0</v>
      </c>
      <c r="BI74" s="428">
        <v>0</v>
      </c>
      <c r="BJ74" s="428">
        <v>0</v>
      </c>
      <c r="BK74" s="428">
        <v>0</v>
      </c>
      <c r="BL74" s="428">
        <v>0</v>
      </c>
      <c r="BM74" s="428">
        <v>0</v>
      </c>
      <c r="BN74" s="428">
        <v>8692</v>
      </c>
      <c r="BO74" s="428">
        <v>0</v>
      </c>
      <c r="BP74" s="428">
        <v>0</v>
      </c>
      <c r="BQ74" s="428">
        <v>0</v>
      </c>
      <c r="BR74" s="428">
        <v>0</v>
      </c>
      <c r="BS74" s="428">
        <v>0</v>
      </c>
      <c r="BT74" s="428">
        <v>0</v>
      </c>
      <c r="BU74" s="428">
        <v>0</v>
      </c>
      <c r="BV74" s="428">
        <v>0</v>
      </c>
      <c r="BW74" s="428">
        <v>0</v>
      </c>
      <c r="BX74" s="428">
        <v>0</v>
      </c>
      <c r="BY74" s="428">
        <v>0</v>
      </c>
      <c r="BZ74" s="428">
        <v>0</v>
      </c>
      <c r="CA74" s="428">
        <v>0</v>
      </c>
      <c r="CB74" s="428">
        <v>0</v>
      </c>
      <c r="CC74" s="428">
        <v>0</v>
      </c>
      <c r="CD74" s="428">
        <v>0</v>
      </c>
      <c r="CE74" s="428">
        <v>0</v>
      </c>
      <c r="CF74" s="428">
        <v>0</v>
      </c>
      <c r="CG74" s="428">
        <v>0</v>
      </c>
      <c r="CH74" s="428">
        <v>0</v>
      </c>
      <c r="CI74" s="428">
        <v>0</v>
      </c>
      <c r="CJ74" s="428">
        <v>0</v>
      </c>
      <c r="CK74" s="428">
        <v>0</v>
      </c>
      <c r="CL74" s="428">
        <v>0</v>
      </c>
      <c r="CM74" s="428">
        <v>0</v>
      </c>
      <c r="CN74" s="428">
        <v>0</v>
      </c>
      <c r="CO74" s="428">
        <v>0</v>
      </c>
      <c r="CP74" s="428">
        <v>0</v>
      </c>
      <c r="CQ74" s="428">
        <v>0</v>
      </c>
      <c r="CR74" s="428">
        <v>0</v>
      </c>
      <c r="CS74" s="428">
        <v>0</v>
      </c>
      <c r="CT74" s="428">
        <v>0</v>
      </c>
      <c r="CU74" s="428">
        <v>0</v>
      </c>
      <c r="CV74" s="428">
        <v>0</v>
      </c>
      <c r="CW74" s="428">
        <v>0</v>
      </c>
      <c r="CX74" s="428">
        <v>0</v>
      </c>
      <c r="CY74" s="428">
        <v>0</v>
      </c>
      <c r="CZ74" s="428">
        <v>0</v>
      </c>
      <c r="DA74" s="428">
        <v>0</v>
      </c>
      <c r="DB74" s="428">
        <v>0</v>
      </c>
      <c r="DC74" s="428">
        <v>0</v>
      </c>
      <c r="DD74" s="428">
        <v>0</v>
      </c>
      <c r="DE74" s="428">
        <v>0</v>
      </c>
      <c r="DF74" s="428">
        <v>0</v>
      </c>
      <c r="DG74" s="428">
        <v>0</v>
      </c>
      <c r="DH74" s="428">
        <v>0</v>
      </c>
      <c r="DI74" s="428">
        <v>0</v>
      </c>
      <c r="DJ74" s="428">
        <v>0</v>
      </c>
      <c r="DK74" s="428">
        <v>0</v>
      </c>
      <c r="DL74" s="428">
        <v>0</v>
      </c>
      <c r="DM74" s="428">
        <v>0</v>
      </c>
      <c r="DN74" s="428">
        <v>0</v>
      </c>
      <c r="DO74" s="428">
        <v>0</v>
      </c>
      <c r="DP74" s="428">
        <v>0</v>
      </c>
      <c r="DQ74" s="428">
        <v>0</v>
      </c>
      <c r="DR74" s="428">
        <v>0</v>
      </c>
      <c r="DS74" s="428">
        <v>0</v>
      </c>
      <c r="DT74" s="428">
        <v>0</v>
      </c>
      <c r="DU74" s="428">
        <v>0</v>
      </c>
      <c r="DV74" s="428">
        <v>0</v>
      </c>
      <c r="ED74" s="135"/>
      <c r="EE74" s="357" t="s">
        <v>645</v>
      </c>
      <c r="EF74" s="426" t="s">
        <v>777</v>
      </c>
      <c r="EG74" s="426">
        <v>2</v>
      </c>
      <c r="EH74" s="426">
        <v>46</v>
      </c>
      <c r="EI74" s="208" t="str">
        <f t="shared" si="5"/>
        <v>CLX200246</v>
      </c>
      <c r="EJ74" s="426">
        <v>434.6</v>
      </c>
      <c r="EK74" s="426">
        <v>869.2</v>
      </c>
      <c r="EL74" s="426">
        <v>1303.8</v>
      </c>
      <c r="EM74" s="426">
        <v>1738.4</v>
      </c>
      <c r="EN74" s="426">
        <v>2173</v>
      </c>
      <c r="EO74" s="426">
        <v>2607.6</v>
      </c>
      <c r="EP74" s="426">
        <v>3042.2</v>
      </c>
      <c r="EQ74" s="426">
        <v>3476.8</v>
      </c>
      <c r="ER74" s="426">
        <v>3911.4</v>
      </c>
      <c r="ES74" s="426">
        <v>4346</v>
      </c>
      <c r="ET74" s="426">
        <v>4780.6000000000004</v>
      </c>
      <c r="EU74" s="426">
        <v>5215.2</v>
      </c>
      <c r="EV74" s="426">
        <v>5649.8</v>
      </c>
      <c r="EW74" s="426">
        <v>6084.4</v>
      </c>
      <c r="EX74" s="426">
        <v>6519</v>
      </c>
      <c r="EY74" s="426">
        <v>6953.6</v>
      </c>
      <c r="EZ74" s="426">
        <v>7388.2</v>
      </c>
      <c r="FA74" s="426">
        <v>7822.8</v>
      </c>
      <c r="FB74" s="426">
        <v>8257.4</v>
      </c>
      <c r="FC74" s="426">
        <v>8692</v>
      </c>
      <c r="FD74" s="426">
        <v>8692</v>
      </c>
      <c r="FE74" s="426">
        <v>8692</v>
      </c>
      <c r="FF74" s="426">
        <v>8692</v>
      </c>
      <c r="FG74" s="426">
        <v>8692</v>
      </c>
      <c r="FH74" s="426">
        <v>8692</v>
      </c>
      <c r="FI74" s="426">
        <v>8692</v>
      </c>
      <c r="FJ74" s="426">
        <v>8692</v>
      </c>
      <c r="FK74" s="426">
        <v>8692</v>
      </c>
      <c r="FL74" s="426">
        <v>8692</v>
      </c>
      <c r="FM74" s="426">
        <v>8692</v>
      </c>
      <c r="FN74" s="426">
        <v>8692</v>
      </c>
      <c r="FO74" s="426">
        <v>8692</v>
      </c>
      <c r="FP74" s="426">
        <v>8692</v>
      </c>
      <c r="FQ74" s="426">
        <v>8692</v>
      </c>
      <c r="FR74" s="426">
        <v>8692</v>
      </c>
      <c r="FS74" s="426">
        <v>8692</v>
      </c>
      <c r="FT74" s="426">
        <v>8692</v>
      </c>
      <c r="FU74" s="426">
        <v>8692</v>
      </c>
      <c r="FV74" s="426">
        <v>8692</v>
      </c>
      <c r="FW74" s="426">
        <v>8692</v>
      </c>
      <c r="FX74" s="426">
        <v>8692</v>
      </c>
      <c r="FY74" s="426">
        <v>8692</v>
      </c>
      <c r="FZ74" s="426">
        <v>8692</v>
      </c>
      <c r="GA74" s="426">
        <v>8692</v>
      </c>
      <c r="GB74" s="426">
        <v>0</v>
      </c>
      <c r="GC74" s="426">
        <v>0</v>
      </c>
      <c r="GD74" s="426">
        <v>0</v>
      </c>
      <c r="GE74" s="426">
        <v>0</v>
      </c>
      <c r="GF74" s="426">
        <v>0</v>
      </c>
      <c r="GG74" s="426">
        <v>0</v>
      </c>
      <c r="GH74" s="426">
        <v>0</v>
      </c>
      <c r="GI74" s="426">
        <v>0</v>
      </c>
      <c r="GJ74" s="426">
        <v>0</v>
      </c>
      <c r="GK74" s="426">
        <v>0</v>
      </c>
      <c r="GL74" s="426">
        <v>0</v>
      </c>
      <c r="GM74" s="426">
        <v>0</v>
      </c>
      <c r="GN74" s="426">
        <v>0</v>
      </c>
      <c r="GO74" s="426">
        <v>0</v>
      </c>
      <c r="GP74" s="426">
        <v>0</v>
      </c>
      <c r="GQ74" s="426">
        <v>0</v>
      </c>
      <c r="GR74" s="426">
        <v>0</v>
      </c>
      <c r="GS74" s="426">
        <v>0</v>
      </c>
      <c r="GT74" s="426">
        <v>0</v>
      </c>
      <c r="GU74" s="426">
        <v>0</v>
      </c>
      <c r="GV74" s="426">
        <v>0</v>
      </c>
      <c r="GW74" s="426">
        <v>0</v>
      </c>
      <c r="GX74" s="426">
        <v>0</v>
      </c>
      <c r="GY74" s="426">
        <v>0</v>
      </c>
      <c r="GZ74" s="426">
        <v>0</v>
      </c>
      <c r="HA74" s="426">
        <v>0</v>
      </c>
      <c r="HB74" s="426">
        <v>0</v>
      </c>
      <c r="HC74" s="426">
        <v>0</v>
      </c>
      <c r="HD74" s="426">
        <v>0</v>
      </c>
      <c r="HE74" s="426">
        <v>0</v>
      </c>
      <c r="HF74" s="426">
        <v>0</v>
      </c>
      <c r="HG74" s="426">
        <v>0</v>
      </c>
      <c r="HH74" s="426">
        <v>0</v>
      </c>
      <c r="HI74" s="426">
        <v>0</v>
      </c>
      <c r="HJ74" s="426">
        <v>0</v>
      </c>
      <c r="HK74" s="426">
        <v>0</v>
      </c>
      <c r="HL74" s="426">
        <v>0</v>
      </c>
      <c r="HM74" s="426">
        <v>0</v>
      </c>
      <c r="HN74" s="426">
        <v>0</v>
      </c>
      <c r="HO74" s="426">
        <v>0</v>
      </c>
      <c r="HP74" s="426">
        <v>0</v>
      </c>
      <c r="HQ74" s="426">
        <v>0</v>
      </c>
      <c r="HR74" s="426">
        <v>0</v>
      </c>
      <c r="HS74" s="426">
        <v>0</v>
      </c>
      <c r="HT74" s="426">
        <v>0</v>
      </c>
      <c r="HU74" s="426">
        <v>0</v>
      </c>
      <c r="HV74" s="426">
        <v>0</v>
      </c>
      <c r="HW74" s="426">
        <v>0</v>
      </c>
      <c r="HX74" s="426">
        <v>0</v>
      </c>
      <c r="HY74" s="426">
        <v>0</v>
      </c>
      <c r="HZ74" s="426">
        <v>0</v>
      </c>
      <c r="IA74" s="426">
        <v>0</v>
      </c>
      <c r="IB74" s="426">
        <v>0</v>
      </c>
      <c r="IC74" s="426">
        <v>0</v>
      </c>
      <c r="ID74" s="426">
        <v>0</v>
      </c>
      <c r="IE74" s="426">
        <v>0</v>
      </c>
      <c r="IF74" s="426">
        <v>0</v>
      </c>
      <c r="IG74" s="426">
        <v>0</v>
      </c>
      <c r="IH74" s="426">
        <v>0</v>
      </c>
      <c r="II74" s="426">
        <v>0</v>
      </c>
      <c r="IJ74" s="426">
        <v>0</v>
      </c>
      <c r="IK74" s="426">
        <v>0</v>
      </c>
      <c r="IL74" s="426">
        <v>0</v>
      </c>
      <c r="IM74" s="426">
        <v>0</v>
      </c>
      <c r="IN74" s="426">
        <v>0</v>
      </c>
      <c r="IO74" s="426">
        <v>0</v>
      </c>
      <c r="IP74" s="426">
        <v>0</v>
      </c>
    </row>
    <row r="75" spans="1:250" ht="15">
      <c r="A75" s="357" t="s">
        <v>645</v>
      </c>
      <c r="B75" s="427" t="s">
        <v>777</v>
      </c>
      <c r="C75" s="427"/>
      <c r="D75" s="427"/>
      <c r="E75" s="427"/>
      <c r="F75" s="427">
        <v>2</v>
      </c>
      <c r="G75" s="427"/>
      <c r="H75" s="427">
        <v>47</v>
      </c>
      <c r="I75" s="427"/>
      <c r="J75" t="str">
        <f t="shared" si="3"/>
        <v>CLX200247</v>
      </c>
      <c r="K75" s="427">
        <v>420</v>
      </c>
      <c r="R75" s="357" t="s">
        <v>645</v>
      </c>
      <c r="S75" s="428" t="s">
        <v>777</v>
      </c>
      <c r="T75" s="428">
        <v>2</v>
      </c>
      <c r="U75" s="428">
        <v>47</v>
      </c>
      <c r="V75" s="208" t="str">
        <f t="shared" si="4"/>
        <v>CLX200247</v>
      </c>
      <c r="W75" s="428">
        <v>0</v>
      </c>
      <c r="X75" s="428">
        <v>0</v>
      </c>
      <c r="Y75" s="428">
        <v>0</v>
      </c>
      <c r="Z75" s="428">
        <v>0</v>
      </c>
      <c r="AA75" s="428">
        <v>0</v>
      </c>
      <c r="AB75" s="428">
        <v>0</v>
      </c>
      <c r="AC75" s="428">
        <v>0</v>
      </c>
      <c r="AD75" s="428">
        <v>0</v>
      </c>
      <c r="AE75" s="428">
        <v>0</v>
      </c>
      <c r="AF75" s="428">
        <v>0</v>
      </c>
      <c r="AG75" s="428">
        <v>0</v>
      </c>
      <c r="AH75" s="428">
        <v>0</v>
      </c>
      <c r="AI75" s="428">
        <v>0</v>
      </c>
      <c r="AJ75" s="428">
        <v>0</v>
      </c>
      <c r="AK75" s="428">
        <v>0</v>
      </c>
      <c r="AL75" s="428">
        <v>0</v>
      </c>
      <c r="AM75" s="428">
        <v>0</v>
      </c>
      <c r="AN75" s="428">
        <v>0</v>
      </c>
      <c r="AO75" s="428">
        <v>0</v>
      </c>
      <c r="AP75" s="428">
        <v>0</v>
      </c>
      <c r="AQ75" s="428">
        <v>0</v>
      </c>
      <c r="AR75" s="428">
        <v>0</v>
      </c>
      <c r="AS75" s="428">
        <v>0</v>
      </c>
      <c r="AT75" s="428">
        <v>0</v>
      </c>
      <c r="AU75" s="428">
        <v>0</v>
      </c>
      <c r="AV75" s="428">
        <v>0</v>
      </c>
      <c r="AW75" s="428">
        <v>0</v>
      </c>
      <c r="AX75" s="428">
        <v>0</v>
      </c>
      <c r="AY75" s="428">
        <v>0</v>
      </c>
      <c r="AZ75" s="428">
        <v>0</v>
      </c>
      <c r="BA75" s="428">
        <v>0</v>
      </c>
      <c r="BB75" s="428">
        <v>0</v>
      </c>
      <c r="BC75" s="428">
        <v>0</v>
      </c>
      <c r="BD75" s="428">
        <v>0</v>
      </c>
      <c r="BE75" s="428">
        <v>0</v>
      </c>
      <c r="BF75" s="428">
        <v>0</v>
      </c>
      <c r="BG75" s="428">
        <v>0</v>
      </c>
      <c r="BH75" s="428">
        <v>0</v>
      </c>
      <c r="BI75" s="428">
        <v>0</v>
      </c>
      <c r="BJ75" s="428">
        <v>0</v>
      </c>
      <c r="BK75" s="428">
        <v>0</v>
      </c>
      <c r="BL75" s="428">
        <v>0</v>
      </c>
      <c r="BM75" s="428">
        <v>8904</v>
      </c>
      <c r="BN75" s="428">
        <v>0</v>
      </c>
      <c r="BO75" s="428">
        <v>0</v>
      </c>
      <c r="BP75" s="428">
        <v>0</v>
      </c>
      <c r="BQ75" s="428">
        <v>0</v>
      </c>
      <c r="BR75" s="428">
        <v>0</v>
      </c>
      <c r="BS75" s="428">
        <v>0</v>
      </c>
      <c r="BT75" s="428">
        <v>0</v>
      </c>
      <c r="BU75" s="428">
        <v>0</v>
      </c>
      <c r="BV75" s="428">
        <v>0</v>
      </c>
      <c r="BW75" s="428">
        <v>0</v>
      </c>
      <c r="BX75" s="428">
        <v>0</v>
      </c>
      <c r="BY75" s="428">
        <v>0</v>
      </c>
      <c r="BZ75" s="428">
        <v>0</v>
      </c>
      <c r="CA75" s="428">
        <v>0</v>
      </c>
      <c r="CB75" s="428">
        <v>0</v>
      </c>
      <c r="CC75" s="428">
        <v>0</v>
      </c>
      <c r="CD75" s="428">
        <v>0</v>
      </c>
      <c r="CE75" s="428">
        <v>0</v>
      </c>
      <c r="CF75" s="428">
        <v>0</v>
      </c>
      <c r="CG75" s="428">
        <v>0</v>
      </c>
      <c r="CH75" s="428">
        <v>0</v>
      </c>
      <c r="CI75" s="428">
        <v>0</v>
      </c>
      <c r="CJ75" s="428">
        <v>0</v>
      </c>
      <c r="CK75" s="428">
        <v>0</v>
      </c>
      <c r="CL75" s="428">
        <v>0</v>
      </c>
      <c r="CM75" s="428">
        <v>0</v>
      </c>
      <c r="CN75" s="428">
        <v>0</v>
      </c>
      <c r="CO75" s="428">
        <v>0</v>
      </c>
      <c r="CP75" s="428">
        <v>0</v>
      </c>
      <c r="CQ75" s="428">
        <v>0</v>
      </c>
      <c r="CR75" s="428">
        <v>0</v>
      </c>
      <c r="CS75" s="428">
        <v>0</v>
      </c>
      <c r="CT75" s="428">
        <v>0</v>
      </c>
      <c r="CU75" s="428">
        <v>0</v>
      </c>
      <c r="CV75" s="428">
        <v>0</v>
      </c>
      <c r="CW75" s="428">
        <v>0</v>
      </c>
      <c r="CX75" s="428">
        <v>0</v>
      </c>
      <c r="CY75" s="428">
        <v>0</v>
      </c>
      <c r="CZ75" s="428">
        <v>0</v>
      </c>
      <c r="DA75" s="428">
        <v>0</v>
      </c>
      <c r="DB75" s="428">
        <v>0</v>
      </c>
      <c r="DC75" s="428">
        <v>0</v>
      </c>
      <c r="DD75" s="428">
        <v>0</v>
      </c>
      <c r="DE75" s="428">
        <v>0</v>
      </c>
      <c r="DF75" s="428">
        <v>0</v>
      </c>
      <c r="DG75" s="428">
        <v>0</v>
      </c>
      <c r="DH75" s="428">
        <v>0</v>
      </c>
      <c r="DI75" s="428">
        <v>0</v>
      </c>
      <c r="DJ75" s="428">
        <v>0</v>
      </c>
      <c r="DK75" s="428">
        <v>0</v>
      </c>
      <c r="DL75" s="428">
        <v>0</v>
      </c>
      <c r="DM75" s="428">
        <v>0</v>
      </c>
      <c r="DN75" s="428">
        <v>0</v>
      </c>
      <c r="DO75" s="428">
        <v>0</v>
      </c>
      <c r="DP75" s="428">
        <v>0</v>
      </c>
      <c r="DQ75" s="428">
        <v>0</v>
      </c>
      <c r="DR75" s="428">
        <v>0</v>
      </c>
      <c r="DS75" s="428">
        <v>0</v>
      </c>
      <c r="DT75" s="428">
        <v>0</v>
      </c>
      <c r="DU75" s="428">
        <v>0</v>
      </c>
      <c r="DV75" s="428">
        <v>0</v>
      </c>
      <c r="ED75" s="135"/>
      <c r="EE75" s="357" t="s">
        <v>645</v>
      </c>
      <c r="EF75" s="426" t="s">
        <v>777</v>
      </c>
      <c r="EG75" s="426">
        <v>2</v>
      </c>
      <c r="EH75" s="426">
        <v>47</v>
      </c>
      <c r="EI75" s="208" t="str">
        <f t="shared" si="5"/>
        <v>CLX200247</v>
      </c>
      <c r="EJ75" s="426">
        <v>445.2</v>
      </c>
      <c r="EK75" s="426">
        <v>890.4</v>
      </c>
      <c r="EL75" s="426">
        <v>1335.6</v>
      </c>
      <c r="EM75" s="426">
        <v>1780.8</v>
      </c>
      <c r="EN75" s="426">
        <v>2226</v>
      </c>
      <c r="EO75" s="426">
        <v>2671.2</v>
      </c>
      <c r="EP75" s="426">
        <v>3116.4</v>
      </c>
      <c r="EQ75" s="426">
        <v>3561.6</v>
      </c>
      <c r="ER75" s="426">
        <v>4006.8</v>
      </c>
      <c r="ES75" s="426">
        <v>4452</v>
      </c>
      <c r="ET75" s="426">
        <v>4897.2</v>
      </c>
      <c r="EU75" s="426">
        <v>5342.4</v>
      </c>
      <c r="EV75" s="426">
        <v>5787.6</v>
      </c>
      <c r="EW75" s="426">
        <v>6232.8</v>
      </c>
      <c r="EX75" s="426">
        <v>6678</v>
      </c>
      <c r="EY75" s="426">
        <v>7123.2</v>
      </c>
      <c r="EZ75" s="426">
        <v>7568.4</v>
      </c>
      <c r="FA75" s="426">
        <v>8013.6</v>
      </c>
      <c r="FB75" s="426">
        <v>8458.7999999999993</v>
      </c>
      <c r="FC75" s="426">
        <v>8904</v>
      </c>
      <c r="FD75" s="426">
        <v>8904</v>
      </c>
      <c r="FE75" s="426">
        <v>8904</v>
      </c>
      <c r="FF75" s="426">
        <v>8904</v>
      </c>
      <c r="FG75" s="426">
        <v>8904</v>
      </c>
      <c r="FH75" s="426">
        <v>8904</v>
      </c>
      <c r="FI75" s="426">
        <v>8904</v>
      </c>
      <c r="FJ75" s="426">
        <v>8904</v>
      </c>
      <c r="FK75" s="426">
        <v>8904</v>
      </c>
      <c r="FL75" s="426">
        <v>8904</v>
      </c>
      <c r="FM75" s="426">
        <v>8904</v>
      </c>
      <c r="FN75" s="426">
        <v>8904</v>
      </c>
      <c r="FO75" s="426">
        <v>8904</v>
      </c>
      <c r="FP75" s="426">
        <v>8904</v>
      </c>
      <c r="FQ75" s="426">
        <v>8904</v>
      </c>
      <c r="FR75" s="426">
        <v>8904</v>
      </c>
      <c r="FS75" s="426">
        <v>8904</v>
      </c>
      <c r="FT75" s="426">
        <v>8904</v>
      </c>
      <c r="FU75" s="426">
        <v>8904</v>
      </c>
      <c r="FV75" s="426">
        <v>8904</v>
      </c>
      <c r="FW75" s="426">
        <v>8904</v>
      </c>
      <c r="FX75" s="426">
        <v>8904</v>
      </c>
      <c r="FY75" s="426">
        <v>8904</v>
      </c>
      <c r="FZ75" s="426">
        <v>8904</v>
      </c>
      <c r="GA75" s="426">
        <v>0</v>
      </c>
      <c r="GB75" s="426">
        <v>0</v>
      </c>
      <c r="GC75" s="426">
        <v>0</v>
      </c>
      <c r="GD75" s="426">
        <v>0</v>
      </c>
      <c r="GE75" s="426">
        <v>0</v>
      </c>
      <c r="GF75" s="426">
        <v>0</v>
      </c>
      <c r="GG75" s="426">
        <v>0</v>
      </c>
      <c r="GH75" s="426">
        <v>0</v>
      </c>
      <c r="GI75" s="426">
        <v>0</v>
      </c>
      <c r="GJ75" s="426">
        <v>0</v>
      </c>
      <c r="GK75" s="426">
        <v>0</v>
      </c>
      <c r="GL75" s="426">
        <v>0</v>
      </c>
      <c r="GM75" s="426">
        <v>0</v>
      </c>
      <c r="GN75" s="426">
        <v>0</v>
      </c>
      <c r="GO75" s="426">
        <v>0</v>
      </c>
      <c r="GP75" s="426">
        <v>0</v>
      </c>
      <c r="GQ75" s="426">
        <v>0</v>
      </c>
      <c r="GR75" s="426">
        <v>0</v>
      </c>
      <c r="GS75" s="426">
        <v>0</v>
      </c>
      <c r="GT75" s="426">
        <v>0</v>
      </c>
      <c r="GU75" s="426">
        <v>0</v>
      </c>
      <c r="GV75" s="426">
        <v>0</v>
      </c>
      <c r="GW75" s="426">
        <v>0</v>
      </c>
      <c r="GX75" s="426">
        <v>0</v>
      </c>
      <c r="GY75" s="426">
        <v>0</v>
      </c>
      <c r="GZ75" s="426">
        <v>0</v>
      </c>
      <c r="HA75" s="426">
        <v>0</v>
      </c>
      <c r="HB75" s="426">
        <v>0</v>
      </c>
      <c r="HC75" s="426">
        <v>0</v>
      </c>
      <c r="HD75" s="426">
        <v>0</v>
      </c>
      <c r="HE75" s="426">
        <v>0</v>
      </c>
      <c r="HF75" s="426">
        <v>0</v>
      </c>
      <c r="HG75" s="426">
        <v>0</v>
      </c>
      <c r="HH75" s="426">
        <v>0</v>
      </c>
      <c r="HI75" s="426">
        <v>0</v>
      </c>
      <c r="HJ75" s="426">
        <v>0</v>
      </c>
      <c r="HK75" s="426">
        <v>0</v>
      </c>
      <c r="HL75" s="426">
        <v>0</v>
      </c>
      <c r="HM75" s="426">
        <v>0</v>
      </c>
      <c r="HN75" s="426">
        <v>0</v>
      </c>
      <c r="HO75" s="426">
        <v>0</v>
      </c>
      <c r="HP75" s="426">
        <v>0</v>
      </c>
      <c r="HQ75" s="426">
        <v>0</v>
      </c>
      <c r="HR75" s="426">
        <v>0</v>
      </c>
      <c r="HS75" s="426">
        <v>0</v>
      </c>
      <c r="HT75" s="426">
        <v>0</v>
      </c>
      <c r="HU75" s="426">
        <v>0</v>
      </c>
      <c r="HV75" s="426">
        <v>0</v>
      </c>
      <c r="HW75" s="426">
        <v>0</v>
      </c>
      <c r="HX75" s="426">
        <v>0</v>
      </c>
      <c r="HY75" s="426">
        <v>0</v>
      </c>
      <c r="HZ75" s="426">
        <v>0</v>
      </c>
      <c r="IA75" s="426">
        <v>0</v>
      </c>
      <c r="IB75" s="426">
        <v>0</v>
      </c>
      <c r="IC75" s="426">
        <v>0</v>
      </c>
      <c r="ID75" s="426">
        <v>0</v>
      </c>
      <c r="IE75" s="426">
        <v>0</v>
      </c>
      <c r="IF75" s="426">
        <v>0</v>
      </c>
      <c r="IG75" s="426">
        <v>0</v>
      </c>
      <c r="IH75" s="426">
        <v>0</v>
      </c>
      <c r="II75" s="426">
        <v>0</v>
      </c>
      <c r="IJ75" s="426">
        <v>0</v>
      </c>
      <c r="IK75" s="426">
        <v>0</v>
      </c>
      <c r="IL75" s="426">
        <v>0</v>
      </c>
      <c r="IM75" s="426">
        <v>0</v>
      </c>
      <c r="IN75" s="426">
        <v>0</v>
      </c>
      <c r="IO75" s="426">
        <v>0</v>
      </c>
      <c r="IP75" s="426">
        <v>0</v>
      </c>
    </row>
    <row r="76" spans="1:250" ht="15">
      <c r="A76" s="357" t="s">
        <v>645</v>
      </c>
      <c r="B76" s="427" t="s">
        <v>777</v>
      </c>
      <c r="C76" s="427"/>
      <c r="D76" s="427"/>
      <c r="E76" s="427"/>
      <c r="F76" s="427">
        <v>2</v>
      </c>
      <c r="G76" s="427"/>
      <c r="H76" s="427">
        <v>48</v>
      </c>
      <c r="I76" s="427"/>
      <c r="J76" t="str">
        <f t="shared" si="3"/>
        <v>CLX200248</v>
      </c>
      <c r="K76" s="427">
        <v>435</v>
      </c>
      <c r="R76" s="357" t="s">
        <v>645</v>
      </c>
      <c r="S76" s="428" t="s">
        <v>777</v>
      </c>
      <c r="T76" s="428">
        <v>2</v>
      </c>
      <c r="U76" s="428">
        <v>48</v>
      </c>
      <c r="V76" s="208" t="str">
        <f t="shared" si="4"/>
        <v>CLX200248</v>
      </c>
      <c r="W76" s="428">
        <v>0</v>
      </c>
      <c r="X76" s="428">
        <v>0</v>
      </c>
      <c r="Y76" s="428">
        <v>0</v>
      </c>
      <c r="Z76" s="428">
        <v>0</v>
      </c>
      <c r="AA76" s="428">
        <v>0</v>
      </c>
      <c r="AB76" s="428">
        <v>0</v>
      </c>
      <c r="AC76" s="428">
        <v>0</v>
      </c>
      <c r="AD76" s="428">
        <v>0</v>
      </c>
      <c r="AE76" s="428">
        <v>0</v>
      </c>
      <c r="AF76" s="428">
        <v>0</v>
      </c>
      <c r="AG76" s="428">
        <v>0</v>
      </c>
      <c r="AH76" s="428">
        <v>0</v>
      </c>
      <c r="AI76" s="428">
        <v>0</v>
      </c>
      <c r="AJ76" s="428">
        <v>0</v>
      </c>
      <c r="AK76" s="428">
        <v>0</v>
      </c>
      <c r="AL76" s="428">
        <v>0</v>
      </c>
      <c r="AM76" s="428">
        <v>0</v>
      </c>
      <c r="AN76" s="428">
        <v>0</v>
      </c>
      <c r="AO76" s="428">
        <v>0</v>
      </c>
      <c r="AP76" s="428">
        <v>0</v>
      </c>
      <c r="AQ76" s="428">
        <v>0</v>
      </c>
      <c r="AR76" s="428">
        <v>0</v>
      </c>
      <c r="AS76" s="428">
        <v>0</v>
      </c>
      <c r="AT76" s="428">
        <v>0</v>
      </c>
      <c r="AU76" s="428">
        <v>0</v>
      </c>
      <c r="AV76" s="428">
        <v>0</v>
      </c>
      <c r="AW76" s="428">
        <v>0</v>
      </c>
      <c r="AX76" s="428">
        <v>0</v>
      </c>
      <c r="AY76" s="428">
        <v>0</v>
      </c>
      <c r="AZ76" s="428">
        <v>0</v>
      </c>
      <c r="BA76" s="428">
        <v>0</v>
      </c>
      <c r="BB76" s="428">
        <v>0</v>
      </c>
      <c r="BC76" s="428">
        <v>0</v>
      </c>
      <c r="BD76" s="428">
        <v>0</v>
      </c>
      <c r="BE76" s="428">
        <v>0</v>
      </c>
      <c r="BF76" s="428">
        <v>0</v>
      </c>
      <c r="BG76" s="428">
        <v>0</v>
      </c>
      <c r="BH76" s="428">
        <v>0</v>
      </c>
      <c r="BI76" s="428">
        <v>0</v>
      </c>
      <c r="BJ76" s="428">
        <v>0</v>
      </c>
      <c r="BK76" s="428">
        <v>0</v>
      </c>
      <c r="BL76" s="428">
        <v>9222</v>
      </c>
      <c r="BM76" s="428">
        <v>0</v>
      </c>
      <c r="BN76" s="428">
        <v>0</v>
      </c>
      <c r="BO76" s="428">
        <v>0</v>
      </c>
      <c r="BP76" s="428">
        <v>0</v>
      </c>
      <c r="BQ76" s="428">
        <v>0</v>
      </c>
      <c r="BR76" s="428">
        <v>0</v>
      </c>
      <c r="BS76" s="428">
        <v>0</v>
      </c>
      <c r="BT76" s="428">
        <v>0</v>
      </c>
      <c r="BU76" s="428">
        <v>0</v>
      </c>
      <c r="BV76" s="428">
        <v>0</v>
      </c>
      <c r="BW76" s="428">
        <v>0</v>
      </c>
      <c r="BX76" s="428">
        <v>0</v>
      </c>
      <c r="BY76" s="428">
        <v>0</v>
      </c>
      <c r="BZ76" s="428">
        <v>0</v>
      </c>
      <c r="CA76" s="428">
        <v>0</v>
      </c>
      <c r="CB76" s="428">
        <v>0</v>
      </c>
      <c r="CC76" s="428">
        <v>0</v>
      </c>
      <c r="CD76" s="428">
        <v>0</v>
      </c>
      <c r="CE76" s="428">
        <v>0</v>
      </c>
      <c r="CF76" s="428">
        <v>0</v>
      </c>
      <c r="CG76" s="428">
        <v>0</v>
      </c>
      <c r="CH76" s="428">
        <v>0</v>
      </c>
      <c r="CI76" s="428">
        <v>0</v>
      </c>
      <c r="CJ76" s="428">
        <v>0</v>
      </c>
      <c r="CK76" s="428">
        <v>0</v>
      </c>
      <c r="CL76" s="428">
        <v>0</v>
      </c>
      <c r="CM76" s="428">
        <v>0</v>
      </c>
      <c r="CN76" s="428">
        <v>0</v>
      </c>
      <c r="CO76" s="428">
        <v>0</v>
      </c>
      <c r="CP76" s="428">
        <v>0</v>
      </c>
      <c r="CQ76" s="428">
        <v>0</v>
      </c>
      <c r="CR76" s="428">
        <v>0</v>
      </c>
      <c r="CS76" s="428">
        <v>0</v>
      </c>
      <c r="CT76" s="428">
        <v>0</v>
      </c>
      <c r="CU76" s="428">
        <v>0</v>
      </c>
      <c r="CV76" s="428">
        <v>0</v>
      </c>
      <c r="CW76" s="428">
        <v>0</v>
      </c>
      <c r="CX76" s="428">
        <v>0</v>
      </c>
      <c r="CY76" s="428">
        <v>0</v>
      </c>
      <c r="CZ76" s="428">
        <v>0</v>
      </c>
      <c r="DA76" s="428">
        <v>0</v>
      </c>
      <c r="DB76" s="428">
        <v>0</v>
      </c>
      <c r="DC76" s="428">
        <v>0</v>
      </c>
      <c r="DD76" s="428">
        <v>0</v>
      </c>
      <c r="DE76" s="428">
        <v>0</v>
      </c>
      <c r="DF76" s="428">
        <v>0</v>
      </c>
      <c r="DG76" s="428">
        <v>0</v>
      </c>
      <c r="DH76" s="428">
        <v>0</v>
      </c>
      <c r="DI76" s="428">
        <v>0</v>
      </c>
      <c r="DJ76" s="428">
        <v>0</v>
      </c>
      <c r="DK76" s="428">
        <v>0</v>
      </c>
      <c r="DL76" s="428">
        <v>0</v>
      </c>
      <c r="DM76" s="428">
        <v>0</v>
      </c>
      <c r="DN76" s="428">
        <v>0</v>
      </c>
      <c r="DO76" s="428">
        <v>0</v>
      </c>
      <c r="DP76" s="428">
        <v>0</v>
      </c>
      <c r="DQ76" s="428">
        <v>0</v>
      </c>
      <c r="DR76" s="428">
        <v>0</v>
      </c>
      <c r="DS76" s="428">
        <v>0</v>
      </c>
      <c r="DT76" s="428">
        <v>0</v>
      </c>
      <c r="DU76" s="428">
        <v>0</v>
      </c>
      <c r="DV76" s="428">
        <v>0</v>
      </c>
      <c r="ED76" s="135"/>
      <c r="EE76" s="357" t="s">
        <v>645</v>
      </c>
      <c r="EF76" s="426" t="s">
        <v>777</v>
      </c>
      <c r="EG76" s="426">
        <v>2</v>
      </c>
      <c r="EH76" s="426">
        <v>48</v>
      </c>
      <c r="EI76" s="208" t="str">
        <f t="shared" si="5"/>
        <v>CLX200248</v>
      </c>
      <c r="EJ76" s="426">
        <v>461.1</v>
      </c>
      <c r="EK76" s="426">
        <v>922.2</v>
      </c>
      <c r="EL76" s="426">
        <v>1383.3</v>
      </c>
      <c r="EM76" s="426">
        <v>1844.4</v>
      </c>
      <c r="EN76" s="426">
        <v>2305.5</v>
      </c>
      <c r="EO76" s="426">
        <v>2766.6</v>
      </c>
      <c r="EP76" s="426">
        <v>3227.7</v>
      </c>
      <c r="EQ76" s="426">
        <v>3688.8</v>
      </c>
      <c r="ER76" s="426">
        <v>4149.8999999999996</v>
      </c>
      <c r="ES76" s="426">
        <v>4611</v>
      </c>
      <c r="ET76" s="426">
        <v>5072.1000000000004</v>
      </c>
      <c r="EU76" s="426">
        <v>5533.2</v>
      </c>
      <c r="EV76" s="426">
        <v>5994.3</v>
      </c>
      <c r="EW76" s="426">
        <v>6455.4</v>
      </c>
      <c r="EX76" s="426">
        <v>6916.5</v>
      </c>
      <c r="EY76" s="426">
        <v>7377.6</v>
      </c>
      <c r="EZ76" s="426">
        <v>7838.7</v>
      </c>
      <c r="FA76" s="426">
        <v>8299.7999999999993</v>
      </c>
      <c r="FB76" s="426">
        <v>8760.9</v>
      </c>
      <c r="FC76" s="426">
        <v>9222</v>
      </c>
      <c r="FD76" s="426">
        <v>9222</v>
      </c>
      <c r="FE76" s="426">
        <v>9222</v>
      </c>
      <c r="FF76" s="426">
        <v>9222</v>
      </c>
      <c r="FG76" s="426">
        <v>9222</v>
      </c>
      <c r="FH76" s="426">
        <v>9222</v>
      </c>
      <c r="FI76" s="426">
        <v>9222</v>
      </c>
      <c r="FJ76" s="426">
        <v>9222</v>
      </c>
      <c r="FK76" s="426">
        <v>9222</v>
      </c>
      <c r="FL76" s="426">
        <v>9222</v>
      </c>
      <c r="FM76" s="426">
        <v>9222</v>
      </c>
      <c r="FN76" s="426">
        <v>9222</v>
      </c>
      <c r="FO76" s="426">
        <v>9222</v>
      </c>
      <c r="FP76" s="426">
        <v>9222</v>
      </c>
      <c r="FQ76" s="426">
        <v>9222</v>
      </c>
      <c r="FR76" s="426">
        <v>9222</v>
      </c>
      <c r="FS76" s="426">
        <v>9222</v>
      </c>
      <c r="FT76" s="426">
        <v>9222</v>
      </c>
      <c r="FU76" s="426">
        <v>9222</v>
      </c>
      <c r="FV76" s="426">
        <v>9222</v>
      </c>
      <c r="FW76" s="426">
        <v>9222</v>
      </c>
      <c r="FX76" s="426">
        <v>9222</v>
      </c>
      <c r="FY76" s="426">
        <v>9222</v>
      </c>
      <c r="FZ76" s="426">
        <v>0</v>
      </c>
      <c r="GA76" s="426">
        <v>0</v>
      </c>
      <c r="GB76" s="426">
        <v>0</v>
      </c>
      <c r="GC76" s="426">
        <v>0</v>
      </c>
      <c r="GD76" s="426">
        <v>0</v>
      </c>
      <c r="GE76" s="426">
        <v>0</v>
      </c>
      <c r="GF76" s="426">
        <v>0</v>
      </c>
      <c r="GG76" s="426">
        <v>0</v>
      </c>
      <c r="GH76" s="426">
        <v>0</v>
      </c>
      <c r="GI76" s="426">
        <v>0</v>
      </c>
      <c r="GJ76" s="426">
        <v>0</v>
      </c>
      <c r="GK76" s="426">
        <v>0</v>
      </c>
      <c r="GL76" s="426">
        <v>0</v>
      </c>
      <c r="GM76" s="426">
        <v>0</v>
      </c>
      <c r="GN76" s="426">
        <v>0</v>
      </c>
      <c r="GO76" s="426">
        <v>0</v>
      </c>
      <c r="GP76" s="426">
        <v>0</v>
      </c>
      <c r="GQ76" s="426">
        <v>0</v>
      </c>
      <c r="GR76" s="426">
        <v>0</v>
      </c>
      <c r="GS76" s="426">
        <v>0</v>
      </c>
      <c r="GT76" s="426">
        <v>0</v>
      </c>
      <c r="GU76" s="426">
        <v>0</v>
      </c>
      <c r="GV76" s="426">
        <v>0</v>
      </c>
      <c r="GW76" s="426">
        <v>0</v>
      </c>
      <c r="GX76" s="426">
        <v>0</v>
      </c>
      <c r="GY76" s="426">
        <v>0</v>
      </c>
      <c r="GZ76" s="426">
        <v>0</v>
      </c>
      <c r="HA76" s="426">
        <v>0</v>
      </c>
      <c r="HB76" s="426">
        <v>0</v>
      </c>
      <c r="HC76" s="426">
        <v>0</v>
      </c>
      <c r="HD76" s="426">
        <v>0</v>
      </c>
      <c r="HE76" s="426">
        <v>0</v>
      </c>
      <c r="HF76" s="426">
        <v>0</v>
      </c>
      <c r="HG76" s="426">
        <v>0</v>
      </c>
      <c r="HH76" s="426">
        <v>0</v>
      </c>
      <c r="HI76" s="426">
        <v>0</v>
      </c>
      <c r="HJ76" s="426">
        <v>0</v>
      </c>
      <c r="HK76" s="426">
        <v>0</v>
      </c>
      <c r="HL76" s="426">
        <v>0</v>
      </c>
      <c r="HM76" s="426">
        <v>0</v>
      </c>
      <c r="HN76" s="426">
        <v>0</v>
      </c>
      <c r="HO76" s="426">
        <v>0</v>
      </c>
      <c r="HP76" s="426">
        <v>0</v>
      </c>
      <c r="HQ76" s="426">
        <v>0</v>
      </c>
      <c r="HR76" s="426">
        <v>0</v>
      </c>
      <c r="HS76" s="426">
        <v>0</v>
      </c>
      <c r="HT76" s="426">
        <v>0</v>
      </c>
      <c r="HU76" s="426">
        <v>0</v>
      </c>
      <c r="HV76" s="426">
        <v>0</v>
      </c>
      <c r="HW76" s="426">
        <v>0</v>
      </c>
      <c r="HX76" s="426">
        <v>0</v>
      </c>
      <c r="HY76" s="426">
        <v>0</v>
      </c>
      <c r="HZ76" s="426">
        <v>0</v>
      </c>
      <c r="IA76" s="426">
        <v>0</v>
      </c>
      <c r="IB76" s="426">
        <v>0</v>
      </c>
      <c r="IC76" s="426">
        <v>0</v>
      </c>
      <c r="ID76" s="426">
        <v>0</v>
      </c>
      <c r="IE76" s="426">
        <v>0</v>
      </c>
      <c r="IF76" s="426">
        <v>0</v>
      </c>
      <c r="IG76" s="426">
        <v>0</v>
      </c>
      <c r="IH76" s="426">
        <v>0</v>
      </c>
      <c r="II76" s="426">
        <v>0</v>
      </c>
      <c r="IJ76" s="426">
        <v>0</v>
      </c>
      <c r="IK76" s="426">
        <v>0</v>
      </c>
      <c r="IL76" s="426">
        <v>0</v>
      </c>
      <c r="IM76" s="426">
        <v>0</v>
      </c>
      <c r="IN76" s="426">
        <v>0</v>
      </c>
      <c r="IO76" s="426">
        <v>0</v>
      </c>
      <c r="IP76" s="426">
        <v>0</v>
      </c>
    </row>
    <row r="77" spans="1:250" ht="15">
      <c r="A77" s="357" t="s">
        <v>645</v>
      </c>
      <c r="B77" s="427" t="s">
        <v>777</v>
      </c>
      <c r="C77" s="427"/>
      <c r="D77" s="427"/>
      <c r="E77" s="427"/>
      <c r="F77" s="427">
        <v>2</v>
      </c>
      <c r="G77" s="427"/>
      <c r="H77" s="427">
        <v>49</v>
      </c>
      <c r="I77" s="427"/>
      <c r="J77" t="str">
        <f t="shared" si="3"/>
        <v>CLX200249</v>
      </c>
      <c r="K77" s="427">
        <v>450</v>
      </c>
      <c r="R77" s="357" t="s">
        <v>645</v>
      </c>
      <c r="S77" s="428" t="s">
        <v>777</v>
      </c>
      <c r="T77" s="428">
        <v>2</v>
      </c>
      <c r="U77" s="428">
        <v>49</v>
      </c>
      <c r="V77" s="208" t="str">
        <f t="shared" si="4"/>
        <v>CLX200249</v>
      </c>
      <c r="W77" s="428">
        <v>0</v>
      </c>
      <c r="X77" s="428">
        <v>0</v>
      </c>
      <c r="Y77" s="428">
        <v>0</v>
      </c>
      <c r="Z77" s="428">
        <v>0</v>
      </c>
      <c r="AA77" s="428">
        <v>0</v>
      </c>
      <c r="AB77" s="428">
        <v>0</v>
      </c>
      <c r="AC77" s="428">
        <v>0</v>
      </c>
      <c r="AD77" s="428">
        <v>0</v>
      </c>
      <c r="AE77" s="428">
        <v>0</v>
      </c>
      <c r="AF77" s="428">
        <v>0</v>
      </c>
      <c r="AG77" s="428">
        <v>0</v>
      </c>
      <c r="AH77" s="428">
        <v>0</v>
      </c>
      <c r="AI77" s="428">
        <v>0</v>
      </c>
      <c r="AJ77" s="428">
        <v>0</v>
      </c>
      <c r="AK77" s="428">
        <v>0</v>
      </c>
      <c r="AL77" s="428">
        <v>0</v>
      </c>
      <c r="AM77" s="428">
        <v>0</v>
      </c>
      <c r="AN77" s="428">
        <v>0</v>
      </c>
      <c r="AO77" s="428">
        <v>0</v>
      </c>
      <c r="AP77" s="428">
        <v>0</v>
      </c>
      <c r="AQ77" s="428">
        <v>0</v>
      </c>
      <c r="AR77" s="428">
        <v>0</v>
      </c>
      <c r="AS77" s="428">
        <v>0</v>
      </c>
      <c r="AT77" s="428">
        <v>0</v>
      </c>
      <c r="AU77" s="428">
        <v>0</v>
      </c>
      <c r="AV77" s="428">
        <v>0</v>
      </c>
      <c r="AW77" s="428">
        <v>0</v>
      </c>
      <c r="AX77" s="428">
        <v>0</v>
      </c>
      <c r="AY77" s="428">
        <v>0</v>
      </c>
      <c r="AZ77" s="428">
        <v>0</v>
      </c>
      <c r="BA77" s="428">
        <v>0</v>
      </c>
      <c r="BB77" s="428">
        <v>0</v>
      </c>
      <c r="BC77" s="428">
        <v>0</v>
      </c>
      <c r="BD77" s="428">
        <v>0</v>
      </c>
      <c r="BE77" s="428">
        <v>0</v>
      </c>
      <c r="BF77" s="428">
        <v>0</v>
      </c>
      <c r="BG77" s="428">
        <v>0</v>
      </c>
      <c r="BH77" s="428">
        <v>0</v>
      </c>
      <c r="BI77" s="428">
        <v>0</v>
      </c>
      <c r="BJ77" s="428">
        <v>0</v>
      </c>
      <c r="BK77" s="428">
        <v>9540</v>
      </c>
      <c r="BL77" s="428">
        <v>0</v>
      </c>
      <c r="BM77" s="428">
        <v>0</v>
      </c>
      <c r="BN77" s="428">
        <v>0</v>
      </c>
      <c r="BO77" s="428">
        <v>0</v>
      </c>
      <c r="BP77" s="428">
        <v>0</v>
      </c>
      <c r="BQ77" s="428">
        <v>0</v>
      </c>
      <c r="BR77" s="428">
        <v>0</v>
      </c>
      <c r="BS77" s="428">
        <v>0</v>
      </c>
      <c r="BT77" s="428">
        <v>0</v>
      </c>
      <c r="BU77" s="428">
        <v>0</v>
      </c>
      <c r="BV77" s="428">
        <v>0</v>
      </c>
      <c r="BW77" s="428">
        <v>0</v>
      </c>
      <c r="BX77" s="428">
        <v>0</v>
      </c>
      <c r="BY77" s="428">
        <v>0</v>
      </c>
      <c r="BZ77" s="428">
        <v>0</v>
      </c>
      <c r="CA77" s="428">
        <v>0</v>
      </c>
      <c r="CB77" s="428">
        <v>0</v>
      </c>
      <c r="CC77" s="428">
        <v>0</v>
      </c>
      <c r="CD77" s="428">
        <v>0</v>
      </c>
      <c r="CE77" s="428">
        <v>0</v>
      </c>
      <c r="CF77" s="428">
        <v>0</v>
      </c>
      <c r="CG77" s="428">
        <v>0</v>
      </c>
      <c r="CH77" s="428">
        <v>0</v>
      </c>
      <c r="CI77" s="428">
        <v>0</v>
      </c>
      <c r="CJ77" s="428">
        <v>0</v>
      </c>
      <c r="CK77" s="428">
        <v>0</v>
      </c>
      <c r="CL77" s="428">
        <v>0</v>
      </c>
      <c r="CM77" s="428">
        <v>0</v>
      </c>
      <c r="CN77" s="428">
        <v>0</v>
      </c>
      <c r="CO77" s="428">
        <v>0</v>
      </c>
      <c r="CP77" s="428">
        <v>0</v>
      </c>
      <c r="CQ77" s="428">
        <v>0</v>
      </c>
      <c r="CR77" s="428">
        <v>0</v>
      </c>
      <c r="CS77" s="428">
        <v>0</v>
      </c>
      <c r="CT77" s="428">
        <v>0</v>
      </c>
      <c r="CU77" s="428">
        <v>0</v>
      </c>
      <c r="CV77" s="428">
        <v>0</v>
      </c>
      <c r="CW77" s="428">
        <v>0</v>
      </c>
      <c r="CX77" s="428">
        <v>0</v>
      </c>
      <c r="CY77" s="428">
        <v>0</v>
      </c>
      <c r="CZ77" s="428">
        <v>0</v>
      </c>
      <c r="DA77" s="428">
        <v>0</v>
      </c>
      <c r="DB77" s="428">
        <v>0</v>
      </c>
      <c r="DC77" s="428">
        <v>0</v>
      </c>
      <c r="DD77" s="428">
        <v>0</v>
      </c>
      <c r="DE77" s="428">
        <v>0</v>
      </c>
      <c r="DF77" s="428">
        <v>0</v>
      </c>
      <c r="DG77" s="428">
        <v>0</v>
      </c>
      <c r="DH77" s="428">
        <v>0</v>
      </c>
      <c r="DI77" s="428">
        <v>0</v>
      </c>
      <c r="DJ77" s="428">
        <v>0</v>
      </c>
      <c r="DK77" s="428">
        <v>0</v>
      </c>
      <c r="DL77" s="428">
        <v>0</v>
      </c>
      <c r="DM77" s="428">
        <v>0</v>
      </c>
      <c r="DN77" s="428">
        <v>0</v>
      </c>
      <c r="DO77" s="428">
        <v>0</v>
      </c>
      <c r="DP77" s="428">
        <v>0</v>
      </c>
      <c r="DQ77" s="428">
        <v>0</v>
      </c>
      <c r="DR77" s="428">
        <v>0</v>
      </c>
      <c r="DS77" s="428">
        <v>0</v>
      </c>
      <c r="DT77" s="428">
        <v>0</v>
      </c>
      <c r="DU77" s="428">
        <v>0</v>
      </c>
      <c r="DV77" s="428">
        <v>0</v>
      </c>
      <c r="ED77" s="135"/>
      <c r="EE77" s="357" t="s">
        <v>645</v>
      </c>
      <c r="EF77" s="426" t="s">
        <v>777</v>
      </c>
      <c r="EG77" s="426">
        <v>2</v>
      </c>
      <c r="EH77" s="426">
        <v>49</v>
      </c>
      <c r="EI77" s="208" t="str">
        <f t="shared" si="5"/>
        <v>CLX200249</v>
      </c>
      <c r="EJ77" s="426">
        <v>477</v>
      </c>
      <c r="EK77" s="426">
        <v>954</v>
      </c>
      <c r="EL77" s="426">
        <v>1431</v>
      </c>
      <c r="EM77" s="426">
        <v>1908</v>
      </c>
      <c r="EN77" s="426">
        <v>2385</v>
      </c>
      <c r="EO77" s="426">
        <v>2862</v>
      </c>
      <c r="EP77" s="426">
        <v>3339</v>
      </c>
      <c r="EQ77" s="426">
        <v>3816</v>
      </c>
      <c r="ER77" s="426">
        <v>4293</v>
      </c>
      <c r="ES77" s="426">
        <v>4770</v>
      </c>
      <c r="ET77" s="426">
        <v>5247</v>
      </c>
      <c r="EU77" s="426">
        <v>5724</v>
      </c>
      <c r="EV77" s="426">
        <v>6201</v>
      </c>
      <c r="EW77" s="426">
        <v>6678</v>
      </c>
      <c r="EX77" s="426">
        <v>7155</v>
      </c>
      <c r="EY77" s="426">
        <v>7632</v>
      </c>
      <c r="EZ77" s="426">
        <v>8109</v>
      </c>
      <c r="FA77" s="426">
        <v>8586</v>
      </c>
      <c r="FB77" s="426">
        <v>9063</v>
      </c>
      <c r="FC77" s="426">
        <v>9540</v>
      </c>
      <c r="FD77" s="426">
        <v>9540</v>
      </c>
      <c r="FE77" s="426">
        <v>9540</v>
      </c>
      <c r="FF77" s="426">
        <v>9540</v>
      </c>
      <c r="FG77" s="426">
        <v>9540</v>
      </c>
      <c r="FH77" s="426">
        <v>9540</v>
      </c>
      <c r="FI77" s="426">
        <v>9540</v>
      </c>
      <c r="FJ77" s="426">
        <v>9540</v>
      </c>
      <c r="FK77" s="426">
        <v>9540</v>
      </c>
      <c r="FL77" s="426">
        <v>9540</v>
      </c>
      <c r="FM77" s="426">
        <v>9540</v>
      </c>
      <c r="FN77" s="426">
        <v>9540</v>
      </c>
      <c r="FO77" s="426">
        <v>9540</v>
      </c>
      <c r="FP77" s="426">
        <v>9540</v>
      </c>
      <c r="FQ77" s="426">
        <v>9540</v>
      </c>
      <c r="FR77" s="426">
        <v>9540</v>
      </c>
      <c r="FS77" s="426">
        <v>9540</v>
      </c>
      <c r="FT77" s="426">
        <v>9540</v>
      </c>
      <c r="FU77" s="426">
        <v>9540</v>
      </c>
      <c r="FV77" s="426">
        <v>9540</v>
      </c>
      <c r="FW77" s="426">
        <v>9540</v>
      </c>
      <c r="FX77" s="426">
        <v>9540</v>
      </c>
      <c r="FY77" s="426">
        <v>0</v>
      </c>
      <c r="FZ77" s="426">
        <v>0</v>
      </c>
      <c r="GA77" s="426">
        <v>0</v>
      </c>
      <c r="GB77" s="426">
        <v>0</v>
      </c>
      <c r="GC77" s="426">
        <v>0</v>
      </c>
      <c r="GD77" s="426">
        <v>0</v>
      </c>
      <c r="GE77" s="426">
        <v>0</v>
      </c>
      <c r="GF77" s="426">
        <v>0</v>
      </c>
      <c r="GG77" s="426">
        <v>0</v>
      </c>
      <c r="GH77" s="426">
        <v>0</v>
      </c>
      <c r="GI77" s="426">
        <v>0</v>
      </c>
      <c r="GJ77" s="426">
        <v>0</v>
      </c>
      <c r="GK77" s="426">
        <v>0</v>
      </c>
      <c r="GL77" s="426">
        <v>0</v>
      </c>
      <c r="GM77" s="426">
        <v>0</v>
      </c>
      <c r="GN77" s="426">
        <v>0</v>
      </c>
      <c r="GO77" s="426">
        <v>0</v>
      </c>
      <c r="GP77" s="426">
        <v>0</v>
      </c>
      <c r="GQ77" s="426">
        <v>0</v>
      </c>
      <c r="GR77" s="426">
        <v>0</v>
      </c>
      <c r="GS77" s="426">
        <v>0</v>
      </c>
      <c r="GT77" s="426">
        <v>0</v>
      </c>
      <c r="GU77" s="426">
        <v>0</v>
      </c>
      <c r="GV77" s="426">
        <v>0</v>
      </c>
      <c r="GW77" s="426">
        <v>0</v>
      </c>
      <c r="GX77" s="426">
        <v>0</v>
      </c>
      <c r="GY77" s="426">
        <v>0</v>
      </c>
      <c r="GZ77" s="426">
        <v>0</v>
      </c>
      <c r="HA77" s="426">
        <v>0</v>
      </c>
      <c r="HB77" s="426">
        <v>0</v>
      </c>
      <c r="HC77" s="426">
        <v>0</v>
      </c>
      <c r="HD77" s="426">
        <v>0</v>
      </c>
      <c r="HE77" s="426">
        <v>0</v>
      </c>
      <c r="HF77" s="426">
        <v>0</v>
      </c>
      <c r="HG77" s="426">
        <v>0</v>
      </c>
      <c r="HH77" s="426">
        <v>0</v>
      </c>
      <c r="HI77" s="426">
        <v>0</v>
      </c>
      <c r="HJ77" s="426">
        <v>0</v>
      </c>
      <c r="HK77" s="426">
        <v>0</v>
      </c>
      <c r="HL77" s="426">
        <v>0</v>
      </c>
      <c r="HM77" s="426">
        <v>0</v>
      </c>
      <c r="HN77" s="426">
        <v>0</v>
      </c>
      <c r="HO77" s="426">
        <v>0</v>
      </c>
      <c r="HP77" s="426">
        <v>0</v>
      </c>
      <c r="HQ77" s="426">
        <v>0</v>
      </c>
      <c r="HR77" s="426">
        <v>0</v>
      </c>
      <c r="HS77" s="426">
        <v>0</v>
      </c>
      <c r="HT77" s="426">
        <v>0</v>
      </c>
      <c r="HU77" s="426">
        <v>0</v>
      </c>
      <c r="HV77" s="426">
        <v>0</v>
      </c>
      <c r="HW77" s="426">
        <v>0</v>
      </c>
      <c r="HX77" s="426">
        <v>0</v>
      </c>
      <c r="HY77" s="426">
        <v>0</v>
      </c>
      <c r="HZ77" s="426">
        <v>0</v>
      </c>
      <c r="IA77" s="426">
        <v>0</v>
      </c>
      <c r="IB77" s="426">
        <v>0</v>
      </c>
      <c r="IC77" s="426">
        <v>0</v>
      </c>
      <c r="ID77" s="426">
        <v>0</v>
      </c>
      <c r="IE77" s="426">
        <v>0</v>
      </c>
      <c r="IF77" s="426">
        <v>0</v>
      </c>
      <c r="IG77" s="426">
        <v>0</v>
      </c>
      <c r="IH77" s="426">
        <v>0</v>
      </c>
      <c r="II77" s="426">
        <v>0</v>
      </c>
      <c r="IJ77" s="426">
        <v>0</v>
      </c>
      <c r="IK77" s="426">
        <v>0</v>
      </c>
      <c r="IL77" s="426">
        <v>0</v>
      </c>
      <c r="IM77" s="426">
        <v>0</v>
      </c>
      <c r="IN77" s="426">
        <v>0</v>
      </c>
      <c r="IO77" s="426">
        <v>0</v>
      </c>
      <c r="IP77" s="426">
        <v>0</v>
      </c>
    </row>
    <row r="78" spans="1:250" ht="15">
      <c r="A78" s="357" t="s">
        <v>645</v>
      </c>
      <c r="B78" s="427" t="s">
        <v>777</v>
      </c>
      <c r="C78" s="427"/>
      <c r="D78" s="427"/>
      <c r="E78" s="427"/>
      <c r="F78" s="427">
        <v>2</v>
      </c>
      <c r="G78" s="427"/>
      <c r="H78" s="427">
        <v>50</v>
      </c>
      <c r="I78" s="427"/>
      <c r="J78" t="str">
        <f t="shared" si="3"/>
        <v>CLX200250</v>
      </c>
      <c r="K78" s="427">
        <v>470</v>
      </c>
      <c r="R78" s="357" t="s">
        <v>645</v>
      </c>
      <c r="S78" s="428" t="s">
        <v>777</v>
      </c>
      <c r="T78" s="428">
        <v>2</v>
      </c>
      <c r="U78" s="428">
        <v>50</v>
      </c>
      <c r="V78" s="208" t="str">
        <f t="shared" si="4"/>
        <v>CLX200250</v>
      </c>
      <c r="W78" s="428">
        <v>0</v>
      </c>
      <c r="X78" s="428">
        <v>0</v>
      </c>
      <c r="Y78" s="428">
        <v>0</v>
      </c>
      <c r="Z78" s="428">
        <v>0</v>
      </c>
      <c r="AA78" s="428">
        <v>0</v>
      </c>
      <c r="AB78" s="428">
        <v>0</v>
      </c>
      <c r="AC78" s="428">
        <v>0</v>
      </c>
      <c r="AD78" s="428">
        <v>0</v>
      </c>
      <c r="AE78" s="428">
        <v>0</v>
      </c>
      <c r="AF78" s="428">
        <v>0</v>
      </c>
      <c r="AG78" s="428">
        <v>0</v>
      </c>
      <c r="AH78" s="428">
        <v>0</v>
      </c>
      <c r="AI78" s="428">
        <v>0</v>
      </c>
      <c r="AJ78" s="428">
        <v>0</v>
      </c>
      <c r="AK78" s="428">
        <v>0</v>
      </c>
      <c r="AL78" s="428">
        <v>0</v>
      </c>
      <c r="AM78" s="428">
        <v>0</v>
      </c>
      <c r="AN78" s="428">
        <v>0</v>
      </c>
      <c r="AO78" s="428">
        <v>0</v>
      </c>
      <c r="AP78" s="428">
        <v>0</v>
      </c>
      <c r="AQ78" s="428">
        <v>0</v>
      </c>
      <c r="AR78" s="428">
        <v>0</v>
      </c>
      <c r="AS78" s="428">
        <v>0</v>
      </c>
      <c r="AT78" s="428">
        <v>0</v>
      </c>
      <c r="AU78" s="428">
        <v>0</v>
      </c>
      <c r="AV78" s="428">
        <v>0</v>
      </c>
      <c r="AW78" s="428">
        <v>0</v>
      </c>
      <c r="AX78" s="428">
        <v>0</v>
      </c>
      <c r="AY78" s="428">
        <v>0</v>
      </c>
      <c r="AZ78" s="428">
        <v>0</v>
      </c>
      <c r="BA78" s="428">
        <v>0</v>
      </c>
      <c r="BB78" s="428">
        <v>0</v>
      </c>
      <c r="BC78" s="428">
        <v>0</v>
      </c>
      <c r="BD78" s="428">
        <v>0</v>
      </c>
      <c r="BE78" s="428">
        <v>0</v>
      </c>
      <c r="BF78" s="428">
        <v>0</v>
      </c>
      <c r="BG78" s="428">
        <v>0</v>
      </c>
      <c r="BH78" s="428">
        <v>0</v>
      </c>
      <c r="BI78" s="428">
        <v>0</v>
      </c>
      <c r="BJ78" s="428">
        <v>9964</v>
      </c>
      <c r="BK78" s="428">
        <v>0</v>
      </c>
      <c r="BL78" s="428">
        <v>0</v>
      </c>
      <c r="BM78" s="428">
        <v>0</v>
      </c>
      <c r="BN78" s="428">
        <v>0</v>
      </c>
      <c r="BO78" s="428">
        <v>0</v>
      </c>
      <c r="BP78" s="428">
        <v>0</v>
      </c>
      <c r="BQ78" s="428">
        <v>0</v>
      </c>
      <c r="BR78" s="428">
        <v>0</v>
      </c>
      <c r="BS78" s="428">
        <v>0</v>
      </c>
      <c r="BT78" s="428">
        <v>0</v>
      </c>
      <c r="BU78" s="428">
        <v>0</v>
      </c>
      <c r="BV78" s="428">
        <v>0</v>
      </c>
      <c r="BW78" s="428">
        <v>0</v>
      </c>
      <c r="BX78" s="428">
        <v>0</v>
      </c>
      <c r="BY78" s="428">
        <v>0</v>
      </c>
      <c r="BZ78" s="428">
        <v>0</v>
      </c>
      <c r="CA78" s="428">
        <v>0</v>
      </c>
      <c r="CB78" s="428">
        <v>0</v>
      </c>
      <c r="CC78" s="428">
        <v>0</v>
      </c>
      <c r="CD78" s="428">
        <v>0</v>
      </c>
      <c r="CE78" s="428">
        <v>0</v>
      </c>
      <c r="CF78" s="428">
        <v>0</v>
      </c>
      <c r="CG78" s="428">
        <v>0</v>
      </c>
      <c r="CH78" s="428">
        <v>0</v>
      </c>
      <c r="CI78" s="428">
        <v>0</v>
      </c>
      <c r="CJ78" s="428">
        <v>0</v>
      </c>
      <c r="CK78" s="428">
        <v>0</v>
      </c>
      <c r="CL78" s="428">
        <v>0</v>
      </c>
      <c r="CM78" s="428">
        <v>0</v>
      </c>
      <c r="CN78" s="428">
        <v>0</v>
      </c>
      <c r="CO78" s="428">
        <v>0</v>
      </c>
      <c r="CP78" s="428">
        <v>0</v>
      </c>
      <c r="CQ78" s="428">
        <v>0</v>
      </c>
      <c r="CR78" s="428">
        <v>0</v>
      </c>
      <c r="CS78" s="428">
        <v>0</v>
      </c>
      <c r="CT78" s="428">
        <v>0</v>
      </c>
      <c r="CU78" s="428">
        <v>0</v>
      </c>
      <c r="CV78" s="428">
        <v>0</v>
      </c>
      <c r="CW78" s="428">
        <v>0</v>
      </c>
      <c r="CX78" s="428">
        <v>0</v>
      </c>
      <c r="CY78" s="428">
        <v>0</v>
      </c>
      <c r="CZ78" s="428">
        <v>0</v>
      </c>
      <c r="DA78" s="428">
        <v>0</v>
      </c>
      <c r="DB78" s="428">
        <v>0</v>
      </c>
      <c r="DC78" s="428">
        <v>0</v>
      </c>
      <c r="DD78" s="428">
        <v>0</v>
      </c>
      <c r="DE78" s="428">
        <v>0</v>
      </c>
      <c r="DF78" s="428">
        <v>0</v>
      </c>
      <c r="DG78" s="428">
        <v>0</v>
      </c>
      <c r="DH78" s="428">
        <v>0</v>
      </c>
      <c r="DI78" s="428">
        <v>0</v>
      </c>
      <c r="DJ78" s="428">
        <v>0</v>
      </c>
      <c r="DK78" s="428">
        <v>0</v>
      </c>
      <c r="DL78" s="428">
        <v>0</v>
      </c>
      <c r="DM78" s="428">
        <v>0</v>
      </c>
      <c r="DN78" s="428">
        <v>0</v>
      </c>
      <c r="DO78" s="428">
        <v>0</v>
      </c>
      <c r="DP78" s="428">
        <v>0</v>
      </c>
      <c r="DQ78" s="428">
        <v>0</v>
      </c>
      <c r="DR78" s="428">
        <v>0</v>
      </c>
      <c r="DS78" s="428">
        <v>0</v>
      </c>
      <c r="DT78" s="428">
        <v>0</v>
      </c>
      <c r="DU78" s="428">
        <v>0</v>
      </c>
      <c r="DV78" s="428">
        <v>0</v>
      </c>
      <c r="ED78" s="135"/>
      <c r="EE78" s="357" t="s">
        <v>645</v>
      </c>
      <c r="EF78" s="426" t="s">
        <v>777</v>
      </c>
      <c r="EG78" s="426">
        <v>2</v>
      </c>
      <c r="EH78" s="426">
        <v>50</v>
      </c>
      <c r="EI78" s="208" t="str">
        <f t="shared" si="5"/>
        <v>CLX200250</v>
      </c>
      <c r="EJ78" s="426">
        <v>498.2</v>
      </c>
      <c r="EK78" s="426">
        <v>996.4</v>
      </c>
      <c r="EL78" s="426">
        <v>1494.6</v>
      </c>
      <c r="EM78" s="426">
        <v>1992.8</v>
      </c>
      <c r="EN78" s="426">
        <v>2491</v>
      </c>
      <c r="EO78" s="426">
        <v>2989.2</v>
      </c>
      <c r="EP78" s="426">
        <v>3487.4</v>
      </c>
      <c r="EQ78" s="426">
        <v>3985.6</v>
      </c>
      <c r="ER78" s="426">
        <v>4483.8</v>
      </c>
      <c r="ES78" s="426">
        <v>4982</v>
      </c>
      <c r="ET78" s="426">
        <v>5480.2</v>
      </c>
      <c r="EU78" s="426">
        <v>5978.4</v>
      </c>
      <c r="EV78" s="426">
        <v>6476.6</v>
      </c>
      <c r="EW78" s="426">
        <v>6974.8</v>
      </c>
      <c r="EX78" s="426">
        <v>7473</v>
      </c>
      <c r="EY78" s="426">
        <v>7971.2</v>
      </c>
      <c r="EZ78" s="426">
        <v>8469.4</v>
      </c>
      <c r="FA78" s="426">
        <v>8967.6</v>
      </c>
      <c r="FB78" s="426">
        <v>9465.7999999999993</v>
      </c>
      <c r="FC78" s="426">
        <v>9964</v>
      </c>
      <c r="FD78" s="426">
        <v>9964</v>
      </c>
      <c r="FE78" s="426">
        <v>9964</v>
      </c>
      <c r="FF78" s="426">
        <v>9964</v>
      </c>
      <c r="FG78" s="426">
        <v>9964</v>
      </c>
      <c r="FH78" s="426">
        <v>9964</v>
      </c>
      <c r="FI78" s="426">
        <v>9964</v>
      </c>
      <c r="FJ78" s="426">
        <v>9964</v>
      </c>
      <c r="FK78" s="426">
        <v>9964</v>
      </c>
      <c r="FL78" s="426">
        <v>9964</v>
      </c>
      <c r="FM78" s="426">
        <v>9964</v>
      </c>
      <c r="FN78" s="426">
        <v>9964</v>
      </c>
      <c r="FO78" s="426">
        <v>9964</v>
      </c>
      <c r="FP78" s="426">
        <v>9964</v>
      </c>
      <c r="FQ78" s="426">
        <v>9964</v>
      </c>
      <c r="FR78" s="426">
        <v>9964</v>
      </c>
      <c r="FS78" s="426">
        <v>9964</v>
      </c>
      <c r="FT78" s="426">
        <v>9964</v>
      </c>
      <c r="FU78" s="426">
        <v>9964</v>
      </c>
      <c r="FV78" s="426">
        <v>9964</v>
      </c>
      <c r="FW78" s="426">
        <v>9964</v>
      </c>
      <c r="FX78" s="426">
        <v>0</v>
      </c>
      <c r="FY78" s="426">
        <v>0</v>
      </c>
      <c r="FZ78" s="426">
        <v>0</v>
      </c>
      <c r="GA78" s="426">
        <v>0</v>
      </c>
      <c r="GB78" s="426">
        <v>0</v>
      </c>
      <c r="GC78" s="426">
        <v>0</v>
      </c>
      <c r="GD78" s="426">
        <v>0</v>
      </c>
      <c r="GE78" s="426">
        <v>0</v>
      </c>
      <c r="GF78" s="426">
        <v>0</v>
      </c>
      <c r="GG78" s="426">
        <v>0</v>
      </c>
      <c r="GH78" s="426">
        <v>0</v>
      </c>
      <c r="GI78" s="426">
        <v>0</v>
      </c>
      <c r="GJ78" s="426">
        <v>0</v>
      </c>
      <c r="GK78" s="426">
        <v>0</v>
      </c>
      <c r="GL78" s="426">
        <v>0</v>
      </c>
      <c r="GM78" s="426">
        <v>0</v>
      </c>
      <c r="GN78" s="426">
        <v>0</v>
      </c>
      <c r="GO78" s="426">
        <v>0</v>
      </c>
      <c r="GP78" s="426">
        <v>0</v>
      </c>
      <c r="GQ78" s="426">
        <v>0</v>
      </c>
      <c r="GR78" s="426">
        <v>0</v>
      </c>
      <c r="GS78" s="426">
        <v>0</v>
      </c>
      <c r="GT78" s="426">
        <v>0</v>
      </c>
      <c r="GU78" s="426">
        <v>0</v>
      </c>
      <c r="GV78" s="426">
        <v>0</v>
      </c>
      <c r="GW78" s="426">
        <v>0</v>
      </c>
      <c r="GX78" s="426">
        <v>0</v>
      </c>
      <c r="GY78" s="426">
        <v>0</v>
      </c>
      <c r="GZ78" s="426">
        <v>0</v>
      </c>
      <c r="HA78" s="426">
        <v>0</v>
      </c>
      <c r="HB78" s="426">
        <v>0</v>
      </c>
      <c r="HC78" s="426">
        <v>0</v>
      </c>
      <c r="HD78" s="426">
        <v>0</v>
      </c>
      <c r="HE78" s="426">
        <v>0</v>
      </c>
      <c r="HF78" s="426">
        <v>0</v>
      </c>
      <c r="HG78" s="426">
        <v>0</v>
      </c>
      <c r="HH78" s="426">
        <v>0</v>
      </c>
      <c r="HI78" s="426">
        <v>0</v>
      </c>
      <c r="HJ78" s="426">
        <v>0</v>
      </c>
      <c r="HK78" s="426">
        <v>0</v>
      </c>
      <c r="HL78" s="426">
        <v>0</v>
      </c>
      <c r="HM78" s="426">
        <v>0</v>
      </c>
      <c r="HN78" s="426">
        <v>0</v>
      </c>
      <c r="HO78" s="426">
        <v>0</v>
      </c>
      <c r="HP78" s="426">
        <v>0</v>
      </c>
      <c r="HQ78" s="426">
        <v>0</v>
      </c>
      <c r="HR78" s="426">
        <v>0</v>
      </c>
      <c r="HS78" s="426">
        <v>0</v>
      </c>
      <c r="HT78" s="426">
        <v>0</v>
      </c>
      <c r="HU78" s="426">
        <v>0</v>
      </c>
      <c r="HV78" s="426">
        <v>0</v>
      </c>
      <c r="HW78" s="426">
        <v>0</v>
      </c>
      <c r="HX78" s="426">
        <v>0</v>
      </c>
      <c r="HY78" s="426">
        <v>0</v>
      </c>
      <c r="HZ78" s="426">
        <v>0</v>
      </c>
      <c r="IA78" s="426">
        <v>0</v>
      </c>
      <c r="IB78" s="426">
        <v>0</v>
      </c>
      <c r="IC78" s="426">
        <v>0</v>
      </c>
      <c r="ID78" s="426">
        <v>0</v>
      </c>
      <c r="IE78" s="426">
        <v>0</v>
      </c>
      <c r="IF78" s="426">
        <v>0</v>
      </c>
      <c r="IG78" s="426">
        <v>0</v>
      </c>
      <c r="IH78" s="426">
        <v>0</v>
      </c>
      <c r="II78" s="426">
        <v>0</v>
      </c>
      <c r="IJ78" s="426">
        <v>0</v>
      </c>
      <c r="IK78" s="426">
        <v>0</v>
      </c>
      <c r="IL78" s="426">
        <v>0</v>
      </c>
      <c r="IM78" s="426">
        <v>0</v>
      </c>
      <c r="IN78" s="426">
        <v>0</v>
      </c>
      <c r="IO78" s="426">
        <v>0</v>
      </c>
      <c r="IP78" s="426">
        <v>0</v>
      </c>
    </row>
    <row r="79" spans="1:250">
      <c r="A79" s="357"/>
      <c r="G79" s="415"/>
      <c r="R79" s="357"/>
      <c r="V79" s="208"/>
      <c r="ED79" s="135"/>
      <c r="EE79" s="357"/>
      <c r="EI79" s="208"/>
    </row>
    <row r="80" spans="1:250">
      <c r="A80" s="357"/>
      <c r="G80" s="415"/>
      <c r="R80" s="357"/>
      <c r="V80" s="208"/>
      <c r="ED80" s="135"/>
      <c r="EE80" s="357"/>
      <c r="EI80" s="208"/>
    </row>
    <row r="81" spans="1:139">
      <c r="A81" s="357"/>
      <c r="G81" s="415"/>
      <c r="R81" s="357"/>
      <c r="V81" s="208"/>
      <c r="ED81" s="135"/>
      <c r="EE81" s="357"/>
      <c r="EI81" s="208"/>
    </row>
    <row r="82" spans="1:139">
      <c r="A82" s="357"/>
      <c r="G82" s="415"/>
      <c r="R82" s="357"/>
      <c r="V82" s="208"/>
      <c r="ED82" s="135"/>
      <c r="EE82" s="357"/>
      <c r="EI82" s="208"/>
    </row>
    <row r="83" spans="1:139">
      <c r="A83" s="357"/>
      <c r="G83" s="415"/>
      <c r="R83" s="357"/>
      <c r="V83" s="208"/>
      <c r="ED83" s="135"/>
      <c r="EE83" s="357"/>
      <c r="EI83" s="208"/>
    </row>
    <row r="84" spans="1:139">
      <c r="A84" s="357"/>
      <c r="G84" s="415"/>
      <c r="R84" s="357"/>
      <c r="V84" s="208"/>
      <c r="ED84" s="135"/>
      <c r="EE84" s="357"/>
      <c r="EI84" s="208"/>
    </row>
    <row r="85" spans="1:139">
      <c r="A85" s="357"/>
      <c r="G85" s="415"/>
      <c r="R85" s="357"/>
      <c r="V85" s="208"/>
      <c r="ED85" s="135"/>
      <c r="EE85" s="357"/>
      <c r="EI85" s="208"/>
    </row>
    <row r="86" spans="1:139">
      <c r="A86" s="357"/>
      <c r="G86" s="415"/>
      <c r="R86" s="357"/>
      <c r="V86" s="208"/>
      <c r="ED86" s="135"/>
      <c r="EE86" s="357"/>
      <c r="EI86" s="208"/>
    </row>
    <row r="87" spans="1:139">
      <c r="A87" s="357"/>
      <c r="G87" s="415"/>
      <c r="R87" s="357"/>
      <c r="V87" s="208"/>
      <c r="ED87" s="135"/>
      <c r="EE87" s="357"/>
      <c r="EI87" s="208"/>
    </row>
    <row r="88" spans="1:139">
      <c r="A88" s="357"/>
      <c r="G88" s="415"/>
      <c r="R88" s="357"/>
      <c r="V88" s="208"/>
      <c r="ED88" s="135"/>
      <c r="EE88" s="357"/>
      <c r="EI88" s="208"/>
    </row>
    <row r="89" spans="1:139">
      <c r="A89" s="357"/>
      <c r="G89" s="415"/>
      <c r="R89" s="357"/>
      <c r="V89" s="208"/>
      <c r="ED89" s="135"/>
      <c r="EE89" s="357"/>
      <c r="EI89" s="208"/>
    </row>
    <row r="90" spans="1:139">
      <c r="A90" s="357"/>
      <c r="G90" s="415"/>
      <c r="R90" s="357"/>
      <c r="V90" s="208"/>
      <c r="ED90" s="135"/>
      <c r="EE90" s="357"/>
      <c r="EI90" s="208"/>
    </row>
    <row r="91" spans="1:139">
      <c r="A91" s="357"/>
      <c r="G91" s="415"/>
      <c r="R91" s="357"/>
      <c r="V91" s="208"/>
      <c r="ED91" s="135"/>
      <c r="EE91" s="357"/>
      <c r="EI91" s="208"/>
    </row>
    <row r="92" spans="1:139">
      <c r="A92" s="357"/>
      <c r="G92" s="415"/>
      <c r="R92" s="357"/>
      <c r="V92" s="208"/>
      <c r="ED92" s="135"/>
      <c r="EE92" s="357"/>
      <c r="EI92" s="208"/>
    </row>
    <row r="93" spans="1:139">
      <c r="A93" s="357"/>
      <c r="G93" s="415"/>
      <c r="R93" s="357"/>
      <c r="V93" s="208"/>
      <c r="ED93" s="135"/>
      <c r="EE93" s="357"/>
      <c r="EI93" s="208"/>
    </row>
    <row r="94" spans="1:139">
      <c r="A94" s="357"/>
      <c r="G94" s="415"/>
      <c r="R94" s="357"/>
      <c r="V94" s="208"/>
      <c r="ED94" s="135"/>
      <c r="EE94" s="357"/>
      <c r="EI94" s="208"/>
    </row>
    <row r="95" spans="1:139">
      <c r="A95" s="357"/>
      <c r="G95" s="415"/>
      <c r="R95" s="357"/>
      <c r="V95" s="208"/>
      <c r="ED95" s="135"/>
      <c r="EE95" s="357"/>
      <c r="EI95" s="208"/>
    </row>
    <row r="96" spans="1:139">
      <c r="A96" s="357"/>
      <c r="G96" s="415"/>
      <c r="R96" s="357"/>
      <c r="V96" s="208"/>
      <c r="ED96" s="135"/>
      <c r="EE96" s="357"/>
      <c r="EI96" s="208"/>
    </row>
    <row r="97" spans="1:139">
      <c r="A97" s="357"/>
      <c r="G97" s="415"/>
      <c r="R97" s="357"/>
      <c r="V97" s="208"/>
      <c r="ED97" s="135"/>
      <c r="EE97" s="357"/>
      <c r="EI97" s="208"/>
    </row>
    <row r="98" spans="1:139">
      <c r="A98" s="357"/>
      <c r="G98" s="415"/>
      <c r="R98" s="357"/>
      <c r="V98" s="208"/>
      <c r="ED98" s="135"/>
      <c r="EE98" s="357"/>
      <c r="EI98" s="208"/>
    </row>
    <row r="99" spans="1:139">
      <c r="A99" s="357"/>
      <c r="G99" s="415"/>
      <c r="R99" s="357"/>
      <c r="V99" s="208"/>
      <c r="ED99" s="135"/>
      <c r="EE99" s="357"/>
      <c r="EI99" s="208"/>
    </row>
    <row r="100" spans="1:139">
      <c r="A100" s="357"/>
      <c r="G100" s="415"/>
      <c r="R100" s="357"/>
      <c r="V100" s="208"/>
      <c r="ED100" s="135"/>
      <c r="EE100" s="357"/>
      <c r="EI100" s="208"/>
    </row>
    <row r="101" spans="1:139">
      <c r="A101" s="357"/>
      <c r="G101" s="415"/>
      <c r="R101" s="357"/>
      <c r="V101" s="208"/>
      <c r="ED101" s="135"/>
      <c r="EE101" s="357"/>
      <c r="EI101" s="208"/>
    </row>
    <row r="102" spans="1:139">
      <c r="A102" s="357"/>
      <c r="G102" s="415"/>
      <c r="R102" s="357"/>
      <c r="V102" s="208"/>
      <c r="ED102" s="135"/>
      <c r="EE102" s="357"/>
      <c r="EI102" s="208"/>
    </row>
    <row r="103" spans="1:139">
      <c r="A103" s="357"/>
      <c r="G103" s="415"/>
      <c r="R103" s="357"/>
      <c r="V103" s="208"/>
      <c r="ED103" s="135"/>
      <c r="EE103" s="357"/>
      <c r="EI103" s="208"/>
    </row>
    <row r="104" spans="1:139">
      <c r="A104" s="357"/>
      <c r="G104" s="415"/>
      <c r="R104" s="357"/>
      <c r="V104" s="208"/>
      <c r="ED104" s="135"/>
      <c r="EE104" s="357"/>
      <c r="EI104" s="208"/>
    </row>
    <row r="105" spans="1:139">
      <c r="A105" s="357"/>
      <c r="G105" s="415"/>
      <c r="R105" s="357"/>
      <c r="V105" s="208"/>
      <c r="ED105" s="135"/>
      <c r="EE105" s="357"/>
      <c r="EI105" s="208"/>
    </row>
    <row r="106" spans="1:139">
      <c r="A106" s="357"/>
      <c r="G106" s="415"/>
      <c r="R106" s="357"/>
      <c r="V106" s="208"/>
      <c r="ED106" s="135"/>
      <c r="EE106" s="357"/>
      <c r="EI106" s="208"/>
    </row>
    <row r="107" spans="1:139">
      <c r="A107" s="357"/>
      <c r="G107" s="415"/>
      <c r="R107" s="357"/>
      <c r="V107" s="208"/>
      <c r="ED107" s="135"/>
      <c r="EE107" s="357"/>
      <c r="EI107" s="208"/>
    </row>
    <row r="108" spans="1:139">
      <c r="A108" s="357"/>
      <c r="G108" s="415"/>
      <c r="R108" s="357"/>
      <c r="V108" s="208"/>
      <c r="ED108" s="135"/>
      <c r="EE108" s="357"/>
      <c r="EI108" s="208"/>
    </row>
    <row r="109" spans="1:139">
      <c r="A109" s="357"/>
      <c r="G109" s="415"/>
      <c r="R109" s="357"/>
      <c r="V109" s="208"/>
      <c r="ED109" s="135"/>
      <c r="EE109" s="357"/>
      <c r="EI109" s="208"/>
    </row>
    <row r="110" spans="1:139">
      <c r="A110" s="357"/>
      <c r="G110" s="415"/>
      <c r="R110" s="357"/>
      <c r="V110" s="208"/>
      <c r="ED110" s="135"/>
      <c r="EE110" s="357"/>
      <c r="EI110" s="208"/>
    </row>
    <row r="111" spans="1:139">
      <c r="A111" s="357"/>
      <c r="G111" s="415"/>
      <c r="R111" s="357"/>
      <c r="V111" s="208"/>
      <c r="ED111" s="135"/>
      <c r="EE111" s="357"/>
      <c r="EI111" s="208"/>
    </row>
    <row r="112" spans="1:139">
      <c r="A112" s="357"/>
      <c r="G112" s="415"/>
      <c r="R112" s="357"/>
      <c r="V112" s="208"/>
      <c r="ED112" s="135"/>
      <c r="EE112" s="357"/>
      <c r="EI112" s="208"/>
    </row>
    <row r="113" spans="1:139">
      <c r="A113" s="357"/>
      <c r="G113" s="415"/>
      <c r="R113" s="357"/>
      <c r="V113" s="208"/>
      <c r="ED113" s="135"/>
      <c r="EE113" s="357"/>
      <c r="EI113" s="208"/>
    </row>
    <row r="114" spans="1:139">
      <c r="A114" s="357"/>
      <c r="G114" s="415"/>
      <c r="R114" s="357"/>
      <c r="V114" s="208"/>
      <c r="ED114" s="135"/>
      <c r="EE114" s="357"/>
      <c r="EI114" s="208"/>
    </row>
    <row r="115" spans="1:139">
      <c r="A115" s="357"/>
      <c r="R115" s="357"/>
      <c r="V115" s="208"/>
      <c r="ED115" s="135"/>
      <c r="EE115" s="357"/>
      <c r="EI115" s="208"/>
    </row>
    <row r="116" spans="1:139">
      <c r="A116" s="357"/>
      <c r="R116" s="357"/>
      <c r="V116" s="208"/>
      <c r="ED116" s="135"/>
      <c r="EE116" s="357"/>
      <c r="EI116" s="208"/>
    </row>
    <row r="117" spans="1:139">
      <c r="A117" s="357"/>
      <c r="R117" s="357"/>
      <c r="V117" s="208"/>
      <c r="ED117" s="135"/>
      <c r="EE117" s="357"/>
      <c r="EI117" s="208"/>
    </row>
    <row r="118" spans="1:139">
      <c r="A118" s="357"/>
      <c r="R118" s="357"/>
      <c r="V118" s="208"/>
      <c r="ED118" s="135"/>
      <c r="EE118" s="357"/>
      <c r="EI118" s="208"/>
    </row>
    <row r="119" spans="1:139">
      <c r="A119" s="357"/>
      <c r="R119" s="357"/>
      <c r="V119" s="208"/>
      <c r="ED119" s="135"/>
      <c r="EE119" s="357"/>
      <c r="EI119" s="208"/>
    </row>
    <row r="120" spans="1:139">
      <c r="A120" s="357"/>
      <c r="R120" s="357"/>
      <c r="V120" s="208"/>
      <c r="ED120" s="135"/>
      <c r="EE120" s="357"/>
      <c r="EI120" s="208"/>
    </row>
    <row r="121" spans="1:139">
      <c r="A121" s="357"/>
      <c r="R121" s="357"/>
      <c r="V121" s="208"/>
      <c r="ED121" s="135"/>
      <c r="EE121" s="357"/>
      <c r="EI121" s="208"/>
    </row>
    <row r="122" spans="1:139">
      <c r="A122" s="357"/>
      <c r="R122" s="357"/>
      <c r="V122" s="208"/>
      <c r="ED122" s="135"/>
      <c r="EE122" s="357"/>
      <c r="EI122" s="208"/>
    </row>
    <row r="123" spans="1:139">
      <c r="A123" s="357"/>
      <c r="R123" s="357"/>
      <c r="V123" s="208"/>
      <c r="ED123" s="135"/>
      <c r="EE123" s="357"/>
      <c r="EI123" s="208"/>
    </row>
    <row r="124" spans="1:139">
      <c r="A124" s="357"/>
      <c r="R124" s="357"/>
      <c r="V124" s="208"/>
      <c r="ED124" s="135"/>
      <c r="EE124" s="357"/>
      <c r="EI124" s="208"/>
    </row>
    <row r="125" spans="1:139">
      <c r="A125" s="357"/>
      <c r="R125" s="357"/>
      <c r="V125" s="208"/>
      <c r="ED125" s="135"/>
      <c r="EE125" s="357"/>
      <c r="EI125" s="208"/>
    </row>
    <row r="126" spans="1:139">
      <c r="A126" s="357"/>
      <c r="R126" s="357"/>
      <c r="V126" s="208"/>
      <c r="ED126" s="135"/>
      <c r="EE126" s="357"/>
      <c r="EI126" s="208"/>
    </row>
    <row r="127" spans="1:139">
      <c r="A127" s="357"/>
      <c r="R127" s="357"/>
      <c r="V127" s="208"/>
      <c r="ED127" s="135"/>
      <c r="EE127" s="357"/>
      <c r="EI127" s="208"/>
    </row>
    <row r="128" spans="1:139">
      <c r="A128" s="357"/>
      <c r="R128" s="357"/>
      <c r="V128" s="208"/>
      <c r="ED128" s="135"/>
      <c r="EE128" s="357"/>
      <c r="EI128" s="208"/>
    </row>
    <row r="129" spans="1:139">
      <c r="A129" s="357"/>
      <c r="R129" s="357"/>
      <c r="V129" s="208"/>
      <c r="ED129" s="135"/>
      <c r="EE129" s="357"/>
      <c r="EI129" s="208"/>
    </row>
    <row r="130" spans="1:139">
      <c r="A130" s="357"/>
      <c r="R130" s="357"/>
      <c r="V130" s="208"/>
      <c r="ED130" s="135"/>
      <c r="EE130" s="357"/>
      <c r="EI130" s="208"/>
    </row>
    <row r="131" spans="1:139">
      <c r="A131" s="357"/>
      <c r="R131" s="357"/>
      <c r="V131" s="208"/>
      <c r="ED131" s="135"/>
      <c r="EE131" s="357"/>
      <c r="EI131" s="208"/>
    </row>
    <row r="132" spans="1:139">
      <c r="A132" s="357"/>
      <c r="R132" s="357"/>
      <c r="V132" s="208"/>
      <c r="ED132" s="135"/>
      <c r="EE132" s="357"/>
      <c r="EI132" s="208"/>
    </row>
    <row r="133" spans="1:139">
      <c r="A133" s="357"/>
      <c r="R133" s="357"/>
      <c r="V133" s="208"/>
      <c r="ED133" s="135"/>
      <c r="EE133" s="357"/>
      <c r="EI133" s="208"/>
    </row>
    <row r="134" spans="1:139">
      <c r="A134" s="357"/>
      <c r="R134" s="357"/>
      <c r="V134" s="208"/>
      <c r="ED134" s="135"/>
      <c r="EE134" s="357"/>
      <c r="EI134" s="208"/>
    </row>
    <row r="135" spans="1:139">
      <c r="A135" s="357"/>
      <c r="R135" s="357"/>
      <c r="V135" s="208"/>
      <c r="ED135" s="135"/>
      <c r="EE135" s="357"/>
      <c r="EI135" s="208"/>
    </row>
    <row r="136" spans="1:139">
      <c r="A136" s="357"/>
      <c r="R136" s="357"/>
      <c r="V136" s="208"/>
      <c r="ED136" s="135"/>
      <c r="EE136" s="357"/>
      <c r="EI136" s="208"/>
    </row>
    <row r="137" spans="1:139">
      <c r="A137" s="357"/>
      <c r="R137" s="357"/>
      <c r="V137" s="208"/>
      <c r="ED137" s="135"/>
      <c r="EE137" s="357"/>
      <c r="EI137" s="208"/>
    </row>
    <row r="138" spans="1:139">
      <c r="A138" s="357"/>
      <c r="R138" s="357"/>
      <c r="V138" s="208"/>
      <c r="ED138" s="135"/>
      <c r="EE138" s="357"/>
      <c r="EI138" s="208"/>
    </row>
    <row r="139" spans="1:139">
      <c r="A139" s="357"/>
      <c r="R139" s="357"/>
      <c r="V139" s="208"/>
      <c r="ED139" s="135"/>
      <c r="EE139" s="357"/>
      <c r="EI139" s="208"/>
    </row>
    <row r="140" spans="1:139">
      <c r="A140" s="357"/>
      <c r="R140" s="357"/>
      <c r="V140" s="208"/>
      <c r="ED140" s="135"/>
      <c r="EE140" s="357"/>
      <c r="EI140" s="208"/>
    </row>
    <row r="141" spans="1:139">
      <c r="A141" s="357"/>
      <c r="R141" s="357"/>
      <c r="V141" s="208"/>
      <c r="ED141" s="135"/>
      <c r="EE141" s="357"/>
      <c r="EI141" s="208"/>
    </row>
    <row r="142" spans="1:139">
      <c r="A142" s="357"/>
      <c r="R142" s="357"/>
      <c r="V142" s="208"/>
      <c r="ED142" s="135"/>
      <c r="EE142" s="357"/>
      <c r="EI142" s="208"/>
    </row>
    <row r="143" spans="1:139">
      <c r="A143" s="357"/>
      <c r="R143" s="357"/>
      <c r="V143" s="208"/>
      <c r="ED143" s="135"/>
      <c r="EE143" s="357"/>
      <c r="EI143" s="208"/>
    </row>
    <row r="144" spans="1:139">
      <c r="A144" s="357"/>
      <c r="R144" s="357"/>
      <c r="V144" s="208"/>
      <c r="ED144" s="135"/>
      <c r="EE144" s="357"/>
      <c r="EI144" s="208"/>
    </row>
    <row r="145" spans="1:139">
      <c r="A145" s="357"/>
      <c r="R145" s="357"/>
      <c r="V145" s="208"/>
      <c r="ED145" s="135"/>
      <c r="EE145" s="357"/>
      <c r="EI145" s="208"/>
    </row>
    <row r="146" spans="1:139">
      <c r="A146" s="357"/>
      <c r="R146" s="357"/>
      <c r="V146" s="208"/>
      <c r="ED146" s="135"/>
      <c r="EE146" s="357"/>
      <c r="EI146" s="208"/>
    </row>
    <row r="147" spans="1:139">
      <c r="A147" s="357"/>
      <c r="R147" s="357"/>
      <c r="V147" s="208"/>
      <c r="ED147" s="135"/>
      <c r="EE147" s="357"/>
      <c r="EI147" s="208"/>
    </row>
    <row r="148" spans="1:139">
      <c r="A148" s="357"/>
      <c r="R148" s="357"/>
      <c r="V148" s="208"/>
      <c r="ED148" s="135"/>
      <c r="EE148" s="357"/>
      <c r="EI148" s="208"/>
    </row>
    <row r="149" spans="1:139">
      <c r="A149" s="357"/>
      <c r="R149" s="357"/>
      <c r="V149" s="208"/>
      <c r="ED149" s="135"/>
      <c r="EE149" s="357"/>
      <c r="EI149" s="208"/>
    </row>
    <row r="150" spans="1:139">
      <c r="A150" s="357"/>
      <c r="R150" s="357"/>
      <c r="V150" s="208"/>
      <c r="ED150" s="135"/>
      <c r="EE150" s="357"/>
      <c r="EI150" s="208"/>
    </row>
    <row r="151" spans="1:139">
      <c r="A151" s="357"/>
      <c r="R151" s="357"/>
      <c r="V151" s="208"/>
      <c r="ED151" s="135"/>
      <c r="EE151" s="357"/>
      <c r="EI151" s="208"/>
    </row>
    <row r="152" spans="1:139">
      <c r="A152" s="357"/>
      <c r="R152" s="357"/>
      <c r="V152" s="208"/>
      <c r="ED152" s="135"/>
      <c r="EE152" s="357"/>
      <c r="EI152" s="208"/>
    </row>
    <row r="153" spans="1:139">
      <c r="A153" s="357"/>
      <c r="R153" s="357"/>
      <c r="V153" s="208"/>
      <c r="ED153" s="135"/>
      <c r="EE153" s="357"/>
      <c r="EI153" s="208"/>
    </row>
    <row r="154" spans="1:139">
      <c r="A154" s="357"/>
      <c r="R154" s="357"/>
      <c r="V154" s="208"/>
      <c r="ED154" s="135"/>
      <c r="EE154" s="357"/>
      <c r="EI154" s="208"/>
    </row>
    <row r="155" spans="1:139">
      <c r="A155" s="357"/>
      <c r="R155" s="357"/>
      <c r="V155" s="208"/>
      <c r="ED155" s="135"/>
      <c r="EE155" s="357"/>
      <c r="EI155" s="208"/>
    </row>
    <row r="156" spans="1:139">
      <c r="A156" s="357"/>
      <c r="R156" s="357"/>
      <c r="V156" s="208"/>
      <c r="ED156" s="135"/>
      <c r="EE156" s="357"/>
      <c r="EI156" s="208"/>
    </row>
    <row r="157" spans="1:139">
      <c r="A157" s="357"/>
      <c r="R157" s="357"/>
      <c r="V157" s="208"/>
      <c r="ED157" s="135"/>
      <c r="EE157" s="357"/>
      <c r="EI157" s="208"/>
    </row>
    <row r="158" spans="1:139">
      <c r="A158" s="357"/>
      <c r="R158" s="357"/>
      <c r="V158" s="208"/>
      <c r="ED158" s="135"/>
      <c r="EE158" s="357"/>
      <c r="EI158" s="208"/>
    </row>
    <row r="159" spans="1:139">
      <c r="A159" s="357"/>
      <c r="R159" s="357"/>
      <c r="V159" s="208"/>
      <c r="ED159" s="135"/>
      <c r="EE159" s="357"/>
      <c r="EI159" s="208"/>
    </row>
    <row r="160" spans="1:139">
      <c r="A160" s="357"/>
      <c r="R160" s="357"/>
      <c r="V160" s="208"/>
      <c r="ED160" s="135"/>
      <c r="EE160" s="357"/>
      <c r="EI160" s="208"/>
    </row>
    <row r="161" spans="1:139">
      <c r="A161" s="357"/>
      <c r="R161" s="357"/>
      <c r="V161" s="208"/>
      <c r="ED161" s="135"/>
      <c r="EE161" s="357"/>
      <c r="EI161" s="208"/>
    </row>
    <row r="162" spans="1:139">
      <c r="A162" s="357"/>
      <c r="R162" s="357"/>
      <c r="V162" s="208"/>
      <c r="ED162" s="135"/>
      <c r="EE162" s="357"/>
      <c r="EI162" s="208"/>
    </row>
    <row r="163" spans="1:139">
      <c r="A163" s="357"/>
      <c r="R163" s="357"/>
      <c r="V163" s="208"/>
      <c r="ED163" s="135"/>
      <c r="EE163" s="357"/>
      <c r="EI163" s="208"/>
    </row>
    <row r="164" spans="1:139">
      <c r="A164" s="357"/>
      <c r="R164" s="357"/>
      <c r="V164" s="208"/>
      <c r="ED164" s="135"/>
      <c r="EE164" s="357"/>
      <c r="EI164" s="208"/>
    </row>
    <row r="165" spans="1:139">
      <c r="A165" s="357"/>
      <c r="R165" s="357"/>
      <c r="V165" s="208"/>
      <c r="ED165" s="135"/>
      <c r="EE165" s="357"/>
      <c r="EI165" s="208"/>
    </row>
    <row r="166" spans="1:139">
      <c r="A166" s="357"/>
      <c r="R166" s="357"/>
      <c r="V166" s="208"/>
      <c r="ED166" s="135"/>
      <c r="EE166" s="357"/>
      <c r="EI166" s="208"/>
    </row>
    <row r="167" spans="1:139">
      <c r="A167" s="357"/>
      <c r="R167" s="357"/>
      <c r="V167" s="208"/>
      <c r="ED167" s="135"/>
      <c r="EE167" s="357"/>
      <c r="EI167" s="208"/>
    </row>
    <row r="168" spans="1:139">
      <c r="A168" s="357"/>
      <c r="R168" s="357"/>
      <c r="V168" s="208"/>
      <c r="ED168" s="135"/>
      <c r="EE168" s="357"/>
      <c r="EI168" s="208"/>
    </row>
    <row r="169" spans="1:139">
      <c r="A169" s="357"/>
      <c r="R169" s="357"/>
      <c r="V169" s="208"/>
      <c r="ED169" s="135"/>
      <c r="EE169" s="357"/>
      <c r="EI169" s="208"/>
    </row>
    <row r="170" spans="1:139">
      <c r="A170" s="357"/>
      <c r="R170" s="357"/>
      <c r="V170" s="208"/>
      <c r="ED170" s="135"/>
      <c r="EE170" s="357"/>
      <c r="EI170" s="208"/>
    </row>
    <row r="171" spans="1:139">
      <c r="A171" s="357"/>
      <c r="R171" s="357"/>
      <c r="V171" s="208"/>
      <c r="ED171" s="135"/>
      <c r="EE171" s="357"/>
      <c r="EI171" s="208"/>
    </row>
    <row r="172" spans="1:139">
      <c r="A172" s="357"/>
      <c r="R172" s="357"/>
      <c r="V172" s="208"/>
      <c r="ED172" s="135"/>
      <c r="EE172" s="357"/>
      <c r="EI172" s="208"/>
    </row>
    <row r="173" spans="1:139">
      <c r="A173" s="357"/>
      <c r="R173" s="357"/>
      <c r="V173" s="208"/>
      <c r="ED173" s="135"/>
      <c r="EE173" s="357"/>
      <c r="EI173" s="208"/>
    </row>
    <row r="174" spans="1:139">
      <c r="A174" s="357"/>
      <c r="R174" s="357"/>
      <c r="V174" s="208"/>
      <c r="ED174" s="135"/>
      <c r="EE174" s="357"/>
      <c r="EI174" s="208"/>
    </row>
    <row r="175" spans="1:139">
      <c r="A175" s="357"/>
      <c r="R175" s="357"/>
      <c r="V175" s="208"/>
      <c r="ED175" s="135"/>
      <c r="EE175" s="357"/>
      <c r="EI175" s="208"/>
    </row>
    <row r="176" spans="1:139">
      <c r="A176" s="357"/>
      <c r="R176" s="357"/>
      <c r="V176" s="208"/>
      <c r="ED176" s="135"/>
      <c r="EE176" s="357"/>
      <c r="EI176" s="208"/>
    </row>
    <row r="177" spans="1:139">
      <c r="A177" s="357"/>
      <c r="R177" s="357"/>
      <c r="V177" s="208"/>
      <c r="ED177" s="135"/>
      <c r="EE177" s="357"/>
      <c r="EI177" s="208"/>
    </row>
    <row r="178" spans="1:139">
      <c r="A178" s="357"/>
      <c r="R178" s="357"/>
      <c r="V178" s="208"/>
      <c r="ED178" s="135"/>
      <c r="EE178" s="357"/>
      <c r="EI178" s="208"/>
    </row>
    <row r="179" spans="1:139">
      <c r="A179" s="357"/>
      <c r="R179" s="357"/>
      <c r="V179" s="208"/>
      <c r="ED179" s="135"/>
      <c r="EE179" s="357"/>
      <c r="EI179" s="208"/>
    </row>
    <row r="180" spans="1:139">
      <c r="A180" s="357"/>
      <c r="R180" s="357"/>
      <c r="V180" s="208"/>
      <c r="ED180" s="135"/>
      <c r="EE180" s="357"/>
      <c r="EI180" s="208"/>
    </row>
    <row r="181" spans="1:139">
      <c r="A181" s="357"/>
      <c r="R181" s="357"/>
      <c r="V181" s="208"/>
      <c r="ED181" s="135"/>
      <c r="EE181" s="357"/>
      <c r="EI181" s="208"/>
    </row>
    <row r="182" spans="1:139">
      <c r="A182" s="357"/>
      <c r="R182" s="357"/>
      <c r="V182" s="208"/>
      <c r="ED182" s="135"/>
      <c r="EE182" s="357"/>
      <c r="EI182" s="208"/>
    </row>
    <row r="183" spans="1:139">
      <c r="A183" s="357"/>
      <c r="R183" s="357"/>
      <c r="V183" s="208"/>
      <c r="ED183" s="135"/>
      <c r="EE183" s="357"/>
      <c r="EI183" s="208"/>
    </row>
    <row r="184" spans="1:139">
      <c r="A184" s="357"/>
      <c r="R184" s="357"/>
      <c r="V184" s="208"/>
      <c r="ED184" s="135"/>
      <c r="EE184" s="357"/>
      <c r="EI184" s="208"/>
    </row>
    <row r="185" spans="1:139">
      <c r="A185" s="357"/>
      <c r="R185" s="357"/>
      <c r="V185" s="208"/>
      <c r="ED185" s="135"/>
      <c r="EE185" s="357"/>
      <c r="EI185" s="208"/>
    </row>
    <row r="186" spans="1:139">
      <c r="A186" s="357"/>
      <c r="R186" s="357"/>
      <c r="V186" s="208"/>
      <c r="ED186" s="135"/>
      <c r="EE186" s="357"/>
      <c r="EI186" s="208"/>
    </row>
    <row r="187" spans="1:139">
      <c r="A187" s="357"/>
      <c r="R187" s="357"/>
      <c r="V187" s="208"/>
      <c r="ED187" s="135"/>
      <c r="EE187" s="357"/>
      <c r="EI187" s="208"/>
    </row>
    <row r="188" spans="1:139">
      <c r="A188" s="357"/>
      <c r="R188" s="357"/>
      <c r="V188" s="208"/>
      <c r="ED188" s="135"/>
      <c r="EE188" s="357"/>
      <c r="EI188" s="208"/>
    </row>
    <row r="189" spans="1:139">
      <c r="A189" s="357"/>
      <c r="R189" s="357"/>
      <c r="V189" s="208"/>
      <c r="ED189" s="135"/>
      <c r="EE189" s="357"/>
      <c r="EI189" s="208"/>
    </row>
    <row r="190" spans="1:139">
      <c r="A190" s="357"/>
      <c r="R190" s="357"/>
      <c r="V190" s="208"/>
      <c r="ED190" s="135"/>
      <c r="EE190" s="357"/>
      <c r="EI190" s="208"/>
    </row>
    <row r="191" spans="1:139">
      <c r="A191" s="357"/>
      <c r="R191" s="357"/>
      <c r="V191" s="208"/>
      <c r="ED191" s="135"/>
      <c r="EE191" s="357"/>
      <c r="EI191" s="208"/>
    </row>
    <row r="192" spans="1:139">
      <c r="A192" s="357"/>
      <c r="R192" s="357"/>
      <c r="V192" s="208"/>
      <c r="ED192" s="135"/>
      <c r="EE192" s="357"/>
      <c r="EI192" s="208"/>
    </row>
    <row r="193" spans="1:139">
      <c r="A193" s="357"/>
      <c r="R193" s="357"/>
      <c r="V193" s="208"/>
      <c r="ED193" s="135"/>
      <c r="EE193" s="357"/>
      <c r="EI193" s="208"/>
    </row>
    <row r="194" spans="1:139">
      <c r="A194" s="357"/>
      <c r="R194" s="357"/>
      <c r="V194" s="208"/>
      <c r="ED194" s="135"/>
      <c r="EE194" s="357"/>
      <c r="EI194" s="208"/>
    </row>
    <row r="195" spans="1:139">
      <c r="A195" s="357"/>
      <c r="R195" s="357"/>
      <c r="V195" s="208"/>
      <c r="ED195" s="135"/>
      <c r="EE195" s="357"/>
      <c r="EI195" s="208"/>
    </row>
    <row r="196" spans="1:139">
      <c r="A196" s="357"/>
      <c r="R196" s="357"/>
      <c r="V196" s="208"/>
      <c r="ED196" s="135"/>
      <c r="EE196" s="357"/>
      <c r="EI196" s="208"/>
    </row>
    <row r="197" spans="1:139">
      <c r="A197" s="357"/>
      <c r="R197" s="357"/>
      <c r="V197" s="208"/>
      <c r="ED197" s="135"/>
      <c r="EE197" s="357"/>
      <c r="EI197" s="208"/>
    </row>
    <row r="198" spans="1:139">
      <c r="A198" s="357"/>
      <c r="R198" s="357"/>
      <c r="V198" s="208"/>
      <c r="ED198" s="135"/>
      <c r="EE198" s="357"/>
      <c r="EI198" s="208"/>
    </row>
    <row r="199" spans="1:139">
      <c r="A199" s="357"/>
      <c r="R199" s="357"/>
      <c r="V199" s="208"/>
      <c r="ED199" s="135"/>
      <c r="EE199" s="357"/>
      <c r="EI199" s="208"/>
    </row>
    <row r="200" spans="1:139">
      <c r="A200" s="357"/>
      <c r="R200" s="357"/>
      <c r="V200" s="208"/>
      <c r="ED200" s="135"/>
      <c r="EE200" s="357"/>
      <c r="EI200" s="208"/>
    </row>
    <row r="201" spans="1:139">
      <c r="A201" s="357"/>
      <c r="R201" s="357"/>
      <c r="V201" s="208"/>
      <c r="ED201" s="135"/>
      <c r="EE201" s="357"/>
      <c r="EI201" s="208"/>
    </row>
    <row r="202" spans="1:139">
      <c r="A202" s="357"/>
      <c r="R202" s="357"/>
      <c r="V202" s="208"/>
      <c r="ED202" s="135"/>
      <c r="EE202" s="357"/>
      <c r="EI202" s="208"/>
    </row>
    <row r="203" spans="1:139">
      <c r="A203" s="357"/>
      <c r="R203" s="357"/>
      <c r="V203" s="208"/>
      <c r="EE203" s="357"/>
      <c r="EI203" s="208"/>
    </row>
    <row r="204" spans="1:139">
      <c r="A204" s="357"/>
      <c r="R204" s="357"/>
      <c r="V204" s="208"/>
      <c r="EE204" s="357"/>
      <c r="EI204" s="208"/>
    </row>
    <row r="205" spans="1:139">
      <c r="A205" s="357"/>
      <c r="R205" s="357"/>
      <c r="V205" s="208"/>
      <c r="EE205" s="357"/>
      <c r="EI205" s="208"/>
    </row>
    <row r="206" spans="1:139">
      <c r="A206" s="357"/>
      <c r="R206" s="357"/>
      <c r="V206" s="208"/>
      <c r="EE206" s="357"/>
      <c r="EI206" s="208"/>
    </row>
    <row r="207" spans="1:139">
      <c r="A207" s="357"/>
      <c r="R207" s="357"/>
      <c r="V207" s="208"/>
      <c r="EE207" s="357"/>
      <c r="EI207" s="208"/>
    </row>
    <row r="208" spans="1:139">
      <c r="A208" s="357"/>
      <c r="R208" s="357"/>
      <c r="V208" s="208"/>
      <c r="EE208" s="357"/>
      <c r="EI208" s="208"/>
    </row>
    <row r="209" spans="1:139">
      <c r="A209" s="357"/>
      <c r="R209" s="357"/>
      <c r="V209" s="208"/>
      <c r="EE209" s="357"/>
      <c r="EI209" s="208"/>
    </row>
    <row r="210" spans="1:139">
      <c r="A210" s="357"/>
      <c r="R210" s="357"/>
      <c r="V210" s="208"/>
      <c r="EE210" s="357"/>
      <c r="EI210" s="208"/>
    </row>
    <row r="211" spans="1:139">
      <c r="A211" s="357"/>
      <c r="R211" s="357"/>
      <c r="V211" s="208"/>
      <c r="EE211" s="357"/>
      <c r="EI211" s="208"/>
    </row>
    <row r="212" spans="1:139">
      <c r="A212" s="357"/>
      <c r="R212" s="357"/>
      <c r="V212" s="208"/>
      <c r="EE212" s="357"/>
      <c r="EI212" s="208"/>
    </row>
    <row r="213" spans="1:139">
      <c r="A213" s="357"/>
      <c r="R213" s="357"/>
      <c r="V213" s="208"/>
      <c r="EE213" s="357"/>
      <c r="EI213" s="208"/>
    </row>
    <row r="214" spans="1:139">
      <c r="A214" s="357"/>
      <c r="R214" s="357"/>
      <c r="V214" s="208"/>
      <c r="EE214" s="357"/>
      <c r="EI214" s="208"/>
    </row>
    <row r="215" spans="1:139">
      <c r="A215" s="357"/>
      <c r="R215" s="357"/>
      <c r="V215" s="208"/>
      <c r="EE215" s="357"/>
      <c r="EI215" s="208"/>
    </row>
    <row r="216" spans="1:139">
      <c r="A216" s="357"/>
      <c r="R216" s="357"/>
      <c r="V216" s="208"/>
      <c r="EE216" s="357"/>
      <c r="EI216" s="208"/>
    </row>
    <row r="217" spans="1:139">
      <c r="A217" s="357"/>
      <c r="R217" s="357"/>
      <c r="V217" s="208"/>
      <c r="EE217" s="357"/>
      <c r="EI217" s="208"/>
    </row>
    <row r="218" spans="1:139">
      <c r="A218" s="357"/>
      <c r="R218" s="357"/>
      <c r="V218" s="208"/>
      <c r="EE218" s="357"/>
      <c r="EI218" s="208"/>
    </row>
    <row r="219" spans="1:139">
      <c r="A219" s="357"/>
      <c r="R219" s="357"/>
      <c r="V219" s="208"/>
      <c r="EE219" s="357"/>
      <c r="EI219" s="208"/>
    </row>
    <row r="220" spans="1:139">
      <c r="A220" s="357"/>
      <c r="R220" s="357"/>
      <c r="V220" s="208"/>
      <c r="EE220" s="357"/>
      <c r="EI220" s="208"/>
    </row>
    <row r="221" spans="1:139">
      <c r="A221" s="357"/>
      <c r="R221" s="357"/>
      <c r="V221" s="208"/>
      <c r="EE221" s="357"/>
      <c r="EI221" s="208"/>
    </row>
    <row r="222" spans="1:139">
      <c r="A222" s="357"/>
      <c r="R222" s="357"/>
      <c r="V222" s="208"/>
      <c r="EE222" s="357"/>
      <c r="EI222" s="208"/>
    </row>
    <row r="223" spans="1:139">
      <c r="A223" s="357"/>
      <c r="R223" s="357"/>
      <c r="V223" s="208"/>
      <c r="EE223" s="357"/>
      <c r="EI223" s="208"/>
    </row>
    <row r="224" spans="1:139">
      <c r="A224" s="357"/>
      <c r="R224" s="357"/>
      <c r="V224" s="208"/>
      <c r="EE224" s="357"/>
      <c r="EI224" s="208"/>
    </row>
    <row r="225" spans="1:139">
      <c r="A225" s="357"/>
      <c r="R225" s="357"/>
      <c r="V225" s="208"/>
      <c r="EE225" s="357"/>
      <c r="EI225" s="208"/>
    </row>
    <row r="226" spans="1:139">
      <c r="A226" s="357"/>
      <c r="R226" s="357"/>
      <c r="V226" s="208"/>
      <c r="EE226" s="357"/>
      <c r="EI226" s="208"/>
    </row>
    <row r="227" spans="1:139">
      <c r="A227" s="357"/>
      <c r="R227" s="357"/>
      <c r="V227" s="208"/>
      <c r="EE227" s="357"/>
      <c r="EI227" s="208"/>
    </row>
    <row r="228" spans="1:139">
      <c r="A228" s="357"/>
      <c r="R228" s="357"/>
      <c r="V228" s="208"/>
      <c r="EE228" s="357"/>
      <c r="EI228" s="208"/>
    </row>
    <row r="229" spans="1:139">
      <c r="A229" s="357"/>
      <c r="R229" s="357"/>
      <c r="V229" s="208"/>
      <c r="EE229" s="357"/>
      <c r="EI229" s="208"/>
    </row>
    <row r="230" spans="1:139">
      <c r="A230" s="357"/>
      <c r="R230" s="357"/>
      <c r="V230" s="208"/>
      <c r="EE230" s="357"/>
      <c r="EI230" s="208"/>
    </row>
    <row r="231" spans="1:139">
      <c r="A231" s="357"/>
      <c r="R231" s="357"/>
      <c r="V231" s="208"/>
      <c r="EE231" s="357"/>
      <c r="EI231" s="208"/>
    </row>
    <row r="232" spans="1:139">
      <c r="A232" s="357"/>
      <c r="R232" s="357"/>
      <c r="V232" s="208"/>
      <c r="EE232" s="357"/>
      <c r="EI232" s="208"/>
    </row>
    <row r="233" spans="1:139">
      <c r="A233" s="357"/>
      <c r="R233" s="357"/>
      <c r="V233" s="208"/>
      <c r="EE233" s="357"/>
      <c r="EI233" s="208"/>
    </row>
    <row r="234" spans="1:139">
      <c r="A234" s="357"/>
      <c r="R234" s="357"/>
      <c r="V234" s="208"/>
      <c r="EE234" s="357"/>
      <c r="EI234" s="208"/>
    </row>
    <row r="235" spans="1:139">
      <c r="A235" s="357"/>
      <c r="R235" s="357"/>
      <c r="V235" s="208"/>
      <c r="EE235" s="357"/>
      <c r="EI235" s="208"/>
    </row>
    <row r="236" spans="1:139">
      <c r="A236" s="357"/>
      <c r="R236" s="357"/>
      <c r="V236" s="208"/>
      <c r="EE236" s="357"/>
      <c r="EI236" s="208"/>
    </row>
    <row r="237" spans="1:139">
      <c r="A237" s="357"/>
      <c r="R237" s="357"/>
      <c r="V237" s="208"/>
      <c r="EE237" s="357"/>
      <c r="EI237" s="208"/>
    </row>
    <row r="238" spans="1:139">
      <c r="A238" s="357"/>
      <c r="R238" s="357"/>
      <c r="V238" s="208"/>
      <c r="EE238" s="357"/>
      <c r="EI238" s="208"/>
    </row>
    <row r="239" spans="1:139">
      <c r="A239" s="357"/>
      <c r="R239" s="357"/>
      <c r="V239" s="208"/>
      <c r="EE239" s="357"/>
      <c r="EI239" s="208"/>
    </row>
    <row r="240" spans="1:139">
      <c r="A240" s="357"/>
      <c r="R240" s="357"/>
      <c r="V240" s="208"/>
      <c r="EE240" s="357"/>
      <c r="EI240" s="208"/>
    </row>
    <row r="241" spans="1:139">
      <c r="A241" s="357"/>
      <c r="R241" s="357"/>
      <c r="V241" s="208"/>
      <c r="EE241" s="357"/>
      <c r="EI241" s="208"/>
    </row>
    <row r="242" spans="1:139">
      <c r="A242" s="357"/>
      <c r="R242" s="357"/>
      <c r="V242" s="208"/>
      <c r="EE242" s="357"/>
      <c r="EI242" s="208"/>
    </row>
    <row r="243" spans="1:139">
      <c r="A243" s="357"/>
      <c r="R243" s="357"/>
      <c r="V243" s="208"/>
      <c r="EE243" s="357"/>
      <c r="EI243" s="208"/>
    </row>
    <row r="244" spans="1:139">
      <c r="A244" s="357"/>
      <c r="R244" s="357"/>
      <c r="V244" s="208"/>
      <c r="EE244" s="357"/>
      <c r="EI244" s="208"/>
    </row>
    <row r="245" spans="1:139">
      <c r="A245" s="357"/>
      <c r="R245" s="357"/>
      <c r="V245" s="208"/>
      <c r="EE245" s="357"/>
      <c r="EI245" s="208"/>
    </row>
    <row r="246" spans="1:139">
      <c r="A246" s="357"/>
      <c r="R246" s="357"/>
      <c r="V246" s="208"/>
      <c r="EE246" s="357"/>
      <c r="EI246" s="208"/>
    </row>
    <row r="247" spans="1:139">
      <c r="A247" s="357"/>
      <c r="R247" s="357"/>
      <c r="V247" s="208"/>
      <c r="EE247" s="357"/>
      <c r="EI247" s="208"/>
    </row>
    <row r="248" spans="1:139">
      <c r="A248" s="357"/>
      <c r="R248" s="357"/>
      <c r="V248" s="208"/>
      <c r="EE248" s="357"/>
      <c r="EI248" s="208"/>
    </row>
    <row r="249" spans="1:139">
      <c r="A249" s="357"/>
      <c r="R249" s="357"/>
      <c r="V249" s="208"/>
      <c r="EE249" s="357"/>
      <c r="EI249" s="208"/>
    </row>
    <row r="250" spans="1:139">
      <c r="A250" s="357"/>
      <c r="R250" s="357"/>
      <c r="V250" s="208"/>
      <c r="EE250" s="357"/>
      <c r="EI250" s="208"/>
    </row>
    <row r="251" spans="1:139">
      <c r="A251" s="357"/>
      <c r="R251" s="357"/>
      <c r="V251" s="208"/>
      <c r="EE251" s="357"/>
      <c r="EI251" s="208"/>
    </row>
    <row r="252" spans="1:139">
      <c r="A252" s="357"/>
      <c r="R252" s="357"/>
      <c r="V252" s="208"/>
      <c r="EE252" s="357"/>
      <c r="EI252" s="208"/>
    </row>
    <row r="253" spans="1:139">
      <c r="A253" s="357"/>
      <c r="R253" s="357"/>
      <c r="V253" s="208"/>
      <c r="EE253" s="357"/>
      <c r="EI253" s="208"/>
    </row>
    <row r="254" spans="1:139">
      <c r="A254" s="357"/>
      <c r="R254" s="357"/>
      <c r="V254" s="208"/>
      <c r="EE254" s="357"/>
      <c r="EI254" s="208"/>
    </row>
    <row r="255" spans="1:139">
      <c r="A255" s="357"/>
      <c r="R255" s="357"/>
      <c r="V255" s="208"/>
      <c r="EE255" s="357"/>
      <c r="EI255" s="208"/>
    </row>
    <row r="256" spans="1:139">
      <c r="A256" s="357"/>
      <c r="R256" s="357"/>
      <c r="V256" s="208"/>
      <c r="EE256" s="357"/>
      <c r="EI256" s="208"/>
    </row>
    <row r="257" spans="1:139">
      <c r="A257" s="357"/>
      <c r="R257" s="357"/>
      <c r="V257" s="208"/>
      <c r="EE257" s="357"/>
      <c r="EI257" s="208"/>
    </row>
    <row r="258" spans="1:139">
      <c r="A258" s="357"/>
      <c r="R258" s="357"/>
      <c r="V258" s="208"/>
      <c r="EE258" s="357"/>
      <c r="EI258" s="208"/>
    </row>
    <row r="259" spans="1:139">
      <c r="A259" s="357"/>
      <c r="R259" s="357"/>
      <c r="V259" s="208"/>
      <c r="EE259" s="357"/>
      <c r="EI259" s="208"/>
    </row>
    <row r="260" spans="1:139">
      <c r="A260" s="357"/>
      <c r="R260" s="357"/>
      <c r="V260" s="208"/>
      <c r="EE260" s="357"/>
      <c r="EI260" s="208"/>
    </row>
    <row r="261" spans="1:139">
      <c r="A261" s="357"/>
      <c r="R261" s="357"/>
      <c r="V261" s="208"/>
      <c r="EE261" s="357"/>
      <c r="EI261" s="208"/>
    </row>
    <row r="262" spans="1:139">
      <c r="A262" s="357"/>
      <c r="R262" s="357"/>
      <c r="V262" s="208"/>
      <c r="EE262" s="357"/>
      <c r="EI262" s="208"/>
    </row>
    <row r="263" spans="1:139">
      <c r="A263" s="357"/>
      <c r="R263" s="357"/>
      <c r="V263" s="208"/>
      <c r="EE263" s="357"/>
      <c r="EI263" s="208"/>
    </row>
    <row r="264" spans="1:139">
      <c r="A264" s="357"/>
      <c r="R264" s="357"/>
      <c r="V264" s="208"/>
      <c r="EE264" s="357"/>
      <c r="EI264" s="208"/>
    </row>
    <row r="265" spans="1:139">
      <c r="A265" s="357"/>
      <c r="R265" s="357"/>
      <c r="V265" s="208"/>
      <c r="EE265" s="357"/>
      <c r="EI265" s="208"/>
    </row>
    <row r="266" spans="1:139">
      <c r="A266" s="357"/>
      <c r="R266" s="357"/>
      <c r="V266" s="208"/>
      <c r="EE266" s="357"/>
      <c r="EI266" s="208"/>
    </row>
    <row r="267" spans="1:139">
      <c r="A267" s="357"/>
      <c r="R267" s="357"/>
      <c r="V267" s="208"/>
      <c r="EE267" s="357"/>
      <c r="EI267" s="208"/>
    </row>
    <row r="268" spans="1:139">
      <c r="A268" s="357"/>
      <c r="R268" s="357"/>
      <c r="V268" s="208"/>
      <c r="EE268" s="357"/>
      <c r="EI268" s="208"/>
    </row>
    <row r="272" spans="1:139">
      <c r="R272" t="s">
        <v>532</v>
      </c>
      <c r="V272" s="208" t="str">
        <f>S272&amp;TEXT(T272,"00")&amp;TEXT(U272,"00")</f>
        <v>0000</v>
      </c>
      <c r="EE272" t="s">
        <v>533</v>
      </c>
      <c r="EI272" s="208" t="str">
        <f>EF272&amp;TEXT(EG272,"00")&amp;TEXT(EH272,"00")</f>
        <v>0000</v>
      </c>
    </row>
    <row r="273" spans="18:250">
      <c r="R273" s="356" t="s">
        <v>114</v>
      </c>
      <c r="S273" s="356" t="s">
        <v>15</v>
      </c>
      <c r="T273" s="356" t="s">
        <v>17</v>
      </c>
      <c r="U273" s="356" t="s">
        <v>16</v>
      </c>
      <c r="V273" s="208" t="str">
        <f>S273&amp;TEXT(T273,"00")&amp;TEXT(U273,"00")</f>
        <v>商品代號性別年齡</v>
      </c>
      <c r="W273" s="356" t="s">
        <v>534</v>
      </c>
      <c r="X273" s="356" t="s">
        <v>535</v>
      </c>
      <c r="Y273" s="356" t="s">
        <v>536</v>
      </c>
      <c r="Z273" s="356" t="s">
        <v>537</v>
      </c>
      <c r="AA273" s="356" t="s">
        <v>538</v>
      </c>
      <c r="AB273" s="356" t="s">
        <v>539</v>
      </c>
      <c r="AC273" s="356" t="s">
        <v>540</v>
      </c>
      <c r="AD273" s="356" t="s">
        <v>541</v>
      </c>
      <c r="AE273" s="356" t="s">
        <v>542</v>
      </c>
      <c r="AF273" s="356" t="s">
        <v>543</v>
      </c>
      <c r="AG273" s="356" t="s">
        <v>544</v>
      </c>
      <c r="AH273" s="356" t="s">
        <v>545</v>
      </c>
      <c r="AI273" s="356" t="s">
        <v>546</v>
      </c>
      <c r="AJ273" s="356" t="s">
        <v>547</v>
      </c>
      <c r="AK273" s="356" t="s">
        <v>548</v>
      </c>
      <c r="AL273" s="356" t="s">
        <v>549</v>
      </c>
      <c r="AM273" s="356" t="s">
        <v>550</v>
      </c>
      <c r="AN273" s="356" t="s">
        <v>551</v>
      </c>
      <c r="AO273" s="356" t="s">
        <v>552</v>
      </c>
      <c r="AP273" s="356" t="s">
        <v>553</v>
      </c>
      <c r="AQ273" s="356" t="s">
        <v>554</v>
      </c>
      <c r="AR273" s="356" t="s">
        <v>555</v>
      </c>
      <c r="AS273" s="356" t="s">
        <v>556</v>
      </c>
      <c r="AT273" s="356" t="s">
        <v>557</v>
      </c>
      <c r="AU273" s="356" t="s">
        <v>558</v>
      </c>
      <c r="AV273" s="356" t="s">
        <v>559</v>
      </c>
      <c r="AW273" s="356" t="s">
        <v>560</v>
      </c>
      <c r="AX273" s="356" t="s">
        <v>561</v>
      </c>
      <c r="AY273" s="356" t="s">
        <v>562</v>
      </c>
      <c r="AZ273" s="356" t="s">
        <v>563</v>
      </c>
      <c r="BA273" s="356" t="s">
        <v>564</v>
      </c>
      <c r="BB273" s="356" t="s">
        <v>565</v>
      </c>
      <c r="BC273" s="356" t="s">
        <v>566</v>
      </c>
      <c r="BD273" s="356" t="s">
        <v>567</v>
      </c>
      <c r="BE273" s="356" t="s">
        <v>568</v>
      </c>
      <c r="BF273" s="356" t="s">
        <v>569</v>
      </c>
      <c r="BG273" s="356" t="s">
        <v>570</v>
      </c>
      <c r="BH273" s="356" t="s">
        <v>571</v>
      </c>
      <c r="BI273" s="356" t="s">
        <v>572</v>
      </c>
      <c r="BJ273" s="356" t="s">
        <v>573</v>
      </c>
      <c r="BK273" s="356" t="s">
        <v>574</v>
      </c>
      <c r="BL273" s="356" t="s">
        <v>575</v>
      </c>
      <c r="BM273" s="356" t="s">
        <v>576</v>
      </c>
      <c r="BN273" s="356" t="s">
        <v>577</v>
      </c>
      <c r="BO273" s="356" t="s">
        <v>578</v>
      </c>
      <c r="BP273" s="356" t="s">
        <v>579</v>
      </c>
      <c r="BQ273" s="356" t="s">
        <v>580</v>
      </c>
      <c r="BR273" s="356" t="s">
        <v>581</v>
      </c>
      <c r="BS273" s="356" t="s">
        <v>582</v>
      </c>
      <c r="BT273" s="356" t="s">
        <v>583</v>
      </c>
      <c r="BU273" s="356" t="s">
        <v>584</v>
      </c>
      <c r="BV273" s="356" t="s">
        <v>585</v>
      </c>
      <c r="BW273" s="356" t="s">
        <v>586</v>
      </c>
      <c r="BX273" s="356" t="s">
        <v>587</v>
      </c>
      <c r="BY273" s="356" t="s">
        <v>588</v>
      </c>
      <c r="BZ273" s="356" t="s">
        <v>589</v>
      </c>
      <c r="CA273" s="356" t="s">
        <v>590</v>
      </c>
      <c r="CB273" s="356" t="s">
        <v>591</v>
      </c>
      <c r="CC273" s="356" t="s">
        <v>592</v>
      </c>
      <c r="CD273" s="356" t="s">
        <v>593</v>
      </c>
      <c r="CE273" s="356" t="s">
        <v>594</v>
      </c>
      <c r="CF273" s="356" t="s">
        <v>595</v>
      </c>
      <c r="CG273" s="356" t="s">
        <v>596</v>
      </c>
      <c r="CH273" s="356" t="s">
        <v>597</v>
      </c>
      <c r="CI273" s="356" t="s">
        <v>598</v>
      </c>
      <c r="CJ273" s="356" t="s">
        <v>599</v>
      </c>
      <c r="CK273" s="356" t="s">
        <v>600</v>
      </c>
      <c r="CL273" s="356" t="s">
        <v>601</v>
      </c>
      <c r="CM273" s="356" t="s">
        <v>602</v>
      </c>
      <c r="CN273" s="356" t="s">
        <v>603</v>
      </c>
      <c r="CO273" s="356" t="s">
        <v>604</v>
      </c>
      <c r="CP273" s="356" t="s">
        <v>605</v>
      </c>
      <c r="CQ273" s="356" t="s">
        <v>606</v>
      </c>
      <c r="CR273" s="356" t="s">
        <v>607</v>
      </c>
      <c r="CS273" s="356" t="s">
        <v>608</v>
      </c>
      <c r="CT273" s="356" t="s">
        <v>609</v>
      </c>
      <c r="CU273" s="356" t="s">
        <v>610</v>
      </c>
      <c r="CV273" s="356" t="s">
        <v>611</v>
      </c>
      <c r="CW273" s="356" t="s">
        <v>612</v>
      </c>
      <c r="CX273" s="356" t="s">
        <v>613</v>
      </c>
      <c r="CY273" s="356" t="s">
        <v>614</v>
      </c>
      <c r="CZ273" s="356" t="s">
        <v>615</v>
      </c>
      <c r="DA273" s="356" t="s">
        <v>616</v>
      </c>
      <c r="DB273" s="356" t="s">
        <v>617</v>
      </c>
      <c r="DC273" s="356" t="s">
        <v>618</v>
      </c>
      <c r="DD273" s="356" t="s">
        <v>619</v>
      </c>
      <c r="DE273" s="356" t="s">
        <v>620</v>
      </c>
      <c r="DF273" s="356" t="s">
        <v>621</v>
      </c>
      <c r="DG273" s="356" t="s">
        <v>622</v>
      </c>
      <c r="DH273" s="356" t="s">
        <v>623</v>
      </c>
      <c r="DI273" s="356" t="s">
        <v>624</v>
      </c>
      <c r="DJ273" s="356" t="s">
        <v>625</v>
      </c>
      <c r="DK273" s="356" t="s">
        <v>626</v>
      </c>
      <c r="DL273" s="356" t="s">
        <v>627</v>
      </c>
      <c r="DM273" s="356" t="s">
        <v>628</v>
      </c>
      <c r="DN273" s="356" t="s">
        <v>629</v>
      </c>
      <c r="DO273" s="356" t="s">
        <v>630</v>
      </c>
      <c r="DP273" s="356" t="s">
        <v>631</v>
      </c>
      <c r="DQ273" s="356" t="s">
        <v>632</v>
      </c>
      <c r="DR273" s="356" t="s">
        <v>633</v>
      </c>
      <c r="DS273" s="356" t="s">
        <v>634</v>
      </c>
      <c r="DT273" s="356" t="s">
        <v>635</v>
      </c>
      <c r="DU273" s="356" t="s">
        <v>636</v>
      </c>
      <c r="DV273" s="356" t="s">
        <v>637</v>
      </c>
      <c r="DW273" s="356" t="s">
        <v>638</v>
      </c>
      <c r="DX273" s="356" t="s">
        <v>639</v>
      </c>
      <c r="DY273" s="356" t="s">
        <v>640</v>
      </c>
      <c r="DZ273" s="356" t="s">
        <v>641</v>
      </c>
      <c r="EA273" s="356" t="s">
        <v>642</v>
      </c>
      <c r="EB273" s="356" t="s">
        <v>643</v>
      </c>
      <c r="EC273" s="356" t="s">
        <v>644</v>
      </c>
      <c r="EE273" s="356" t="s">
        <v>114</v>
      </c>
      <c r="EF273" s="356" t="s">
        <v>15</v>
      </c>
      <c r="EG273" s="356" t="s">
        <v>17</v>
      </c>
      <c r="EH273" s="356" t="s">
        <v>16</v>
      </c>
      <c r="EI273" s="208" t="str">
        <f>EF273&amp;TEXT(EG273,"00")&amp;TEXT(EH273,"00")</f>
        <v>商品代號性別年齡</v>
      </c>
      <c r="EJ273" s="356" t="s">
        <v>646</v>
      </c>
      <c r="EK273" s="356" t="s">
        <v>647</v>
      </c>
      <c r="EL273" s="356" t="s">
        <v>648</v>
      </c>
      <c r="EM273" s="356" t="s">
        <v>649</v>
      </c>
      <c r="EN273" s="356" t="s">
        <v>650</v>
      </c>
      <c r="EO273" s="356" t="s">
        <v>651</v>
      </c>
      <c r="EP273" s="356" t="s">
        <v>652</v>
      </c>
      <c r="EQ273" s="356" t="s">
        <v>653</v>
      </c>
      <c r="ER273" s="356" t="s">
        <v>654</v>
      </c>
      <c r="ES273" s="356" t="s">
        <v>655</v>
      </c>
      <c r="ET273" s="356" t="s">
        <v>656</v>
      </c>
      <c r="EU273" s="356" t="s">
        <v>657</v>
      </c>
      <c r="EV273" s="356" t="s">
        <v>658</v>
      </c>
      <c r="EW273" s="356" t="s">
        <v>659</v>
      </c>
      <c r="EX273" s="356" t="s">
        <v>660</v>
      </c>
      <c r="EY273" s="356" t="s">
        <v>661</v>
      </c>
      <c r="EZ273" s="356" t="s">
        <v>662</v>
      </c>
      <c r="FA273" s="356" t="s">
        <v>663</v>
      </c>
      <c r="FB273" s="356" t="s">
        <v>664</v>
      </c>
      <c r="FC273" s="356" t="s">
        <v>665</v>
      </c>
      <c r="FD273" s="356" t="s">
        <v>666</v>
      </c>
      <c r="FE273" s="356" t="s">
        <v>667</v>
      </c>
      <c r="FF273" s="356" t="s">
        <v>668</v>
      </c>
      <c r="FG273" s="356" t="s">
        <v>669</v>
      </c>
      <c r="FH273" s="356" t="s">
        <v>670</v>
      </c>
      <c r="FI273" s="356" t="s">
        <v>671</v>
      </c>
      <c r="FJ273" s="356" t="s">
        <v>672</v>
      </c>
      <c r="FK273" s="356" t="s">
        <v>673</v>
      </c>
      <c r="FL273" s="356" t="s">
        <v>674</v>
      </c>
      <c r="FM273" s="356" t="s">
        <v>675</v>
      </c>
      <c r="FN273" s="356" t="s">
        <v>676</v>
      </c>
      <c r="FO273" s="356" t="s">
        <v>677</v>
      </c>
      <c r="FP273" s="356" t="s">
        <v>678</v>
      </c>
      <c r="FQ273" s="356" t="s">
        <v>679</v>
      </c>
      <c r="FR273" s="356" t="s">
        <v>680</v>
      </c>
      <c r="FS273" s="356" t="s">
        <v>681</v>
      </c>
      <c r="FT273" s="356" t="s">
        <v>682</v>
      </c>
      <c r="FU273" s="356" t="s">
        <v>683</v>
      </c>
      <c r="FV273" s="356" t="s">
        <v>684</v>
      </c>
      <c r="FW273" s="356" t="s">
        <v>685</v>
      </c>
      <c r="FX273" s="356" t="s">
        <v>686</v>
      </c>
      <c r="FY273" s="356" t="s">
        <v>687</v>
      </c>
      <c r="FZ273" s="356" t="s">
        <v>688</v>
      </c>
      <c r="GA273" s="356" t="s">
        <v>689</v>
      </c>
      <c r="GB273" s="356" t="s">
        <v>690</v>
      </c>
      <c r="GC273" s="356" t="s">
        <v>691</v>
      </c>
      <c r="GD273" s="356" t="s">
        <v>692</v>
      </c>
      <c r="GE273" s="356" t="s">
        <v>693</v>
      </c>
      <c r="GF273" s="356" t="s">
        <v>694</v>
      </c>
      <c r="GG273" s="356" t="s">
        <v>695</v>
      </c>
      <c r="GH273" s="356" t="s">
        <v>696</v>
      </c>
      <c r="GI273" s="356" t="s">
        <v>697</v>
      </c>
      <c r="GJ273" s="356" t="s">
        <v>698</v>
      </c>
      <c r="GK273" s="356" t="s">
        <v>699</v>
      </c>
      <c r="GL273" s="356" t="s">
        <v>700</v>
      </c>
      <c r="GM273" s="356" t="s">
        <v>701</v>
      </c>
      <c r="GN273" s="356" t="s">
        <v>702</v>
      </c>
      <c r="GO273" s="356" t="s">
        <v>703</v>
      </c>
      <c r="GP273" s="356" t="s">
        <v>704</v>
      </c>
      <c r="GQ273" s="356" t="s">
        <v>705</v>
      </c>
      <c r="GR273" s="356" t="s">
        <v>706</v>
      </c>
      <c r="GS273" s="356" t="s">
        <v>707</v>
      </c>
      <c r="GT273" s="356" t="s">
        <v>708</v>
      </c>
      <c r="GU273" s="356" t="s">
        <v>709</v>
      </c>
      <c r="GV273" s="356" t="s">
        <v>710</v>
      </c>
      <c r="GW273" s="356" t="s">
        <v>711</v>
      </c>
      <c r="GX273" s="356" t="s">
        <v>712</v>
      </c>
      <c r="GY273" s="356" t="s">
        <v>713</v>
      </c>
      <c r="GZ273" s="356" t="s">
        <v>714</v>
      </c>
      <c r="HA273" s="356" t="s">
        <v>715</v>
      </c>
      <c r="HB273" s="356" t="s">
        <v>716</v>
      </c>
      <c r="HC273" s="356" t="s">
        <v>717</v>
      </c>
      <c r="HD273" s="356" t="s">
        <v>718</v>
      </c>
      <c r="HE273" s="356" t="s">
        <v>719</v>
      </c>
      <c r="HF273" s="356" t="s">
        <v>720</v>
      </c>
      <c r="HG273" s="356" t="s">
        <v>721</v>
      </c>
      <c r="HH273" s="356" t="s">
        <v>722</v>
      </c>
      <c r="HI273" s="356" t="s">
        <v>723</v>
      </c>
      <c r="HJ273" s="356" t="s">
        <v>724</v>
      </c>
      <c r="HK273" s="356" t="s">
        <v>725</v>
      </c>
      <c r="HL273" s="356" t="s">
        <v>726</v>
      </c>
      <c r="HM273" s="356" t="s">
        <v>727</v>
      </c>
      <c r="HN273" s="356" t="s">
        <v>728</v>
      </c>
      <c r="HO273" s="356" t="s">
        <v>729</v>
      </c>
      <c r="HP273" s="356" t="s">
        <v>730</v>
      </c>
      <c r="HQ273" s="356" t="s">
        <v>731</v>
      </c>
      <c r="HR273" s="356" t="s">
        <v>732</v>
      </c>
      <c r="HS273" s="356" t="s">
        <v>733</v>
      </c>
      <c r="HT273" s="356" t="s">
        <v>734</v>
      </c>
      <c r="HU273" s="356" t="s">
        <v>735</v>
      </c>
      <c r="HV273" s="356" t="s">
        <v>736</v>
      </c>
      <c r="HW273" s="356" t="s">
        <v>737</v>
      </c>
      <c r="HX273" s="356" t="s">
        <v>738</v>
      </c>
      <c r="HY273" s="356" t="s">
        <v>739</v>
      </c>
      <c r="HZ273" s="356" t="s">
        <v>740</v>
      </c>
      <c r="IA273" s="356" t="s">
        <v>741</v>
      </c>
      <c r="IB273" s="356" t="s">
        <v>742</v>
      </c>
      <c r="IC273" s="356" t="s">
        <v>743</v>
      </c>
      <c r="ID273" s="356" t="s">
        <v>744</v>
      </c>
      <c r="IE273" s="356" t="s">
        <v>745</v>
      </c>
      <c r="IF273" s="356" t="s">
        <v>746</v>
      </c>
      <c r="IG273" s="356" t="s">
        <v>747</v>
      </c>
      <c r="IH273" s="356" t="s">
        <v>748</v>
      </c>
      <c r="II273" s="356" t="s">
        <v>749</v>
      </c>
      <c r="IJ273" s="356" t="s">
        <v>750</v>
      </c>
      <c r="IK273" s="356" t="s">
        <v>751</v>
      </c>
      <c r="IL273" s="356" t="s">
        <v>752</v>
      </c>
      <c r="IM273" s="356" t="s">
        <v>753</v>
      </c>
      <c r="IN273" s="356" t="s">
        <v>754</v>
      </c>
      <c r="IO273" s="356" t="s">
        <v>755</v>
      </c>
      <c r="IP273" s="356" t="s">
        <v>756</v>
      </c>
    </row>
    <row r="274" spans="18:250">
      <c r="R274" s="357"/>
      <c r="V274" s="208"/>
      <c r="EE274" s="357"/>
      <c r="EH274" s="415"/>
      <c r="EI274" s="208"/>
    </row>
    <row r="275" spans="18:250">
      <c r="R275" s="357"/>
      <c r="V275" s="208"/>
      <c r="EE275" s="357"/>
      <c r="EI275" s="208"/>
    </row>
    <row r="276" spans="18:250">
      <c r="R276" s="357"/>
      <c r="V276" s="208"/>
      <c r="EE276" s="357"/>
      <c r="EI276" s="208"/>
    </row>
    <row r="277" spans="18:250">
      <c r="R277" s="357"/>
      <c r="V277" s="208"/>
      <c r="EE277" s="357"/>
      <c r="EI277" s="208"/>
    </row>
    <row r="278" spans="18:250">
      <c r="R278" s="357"/>
      <c r="V278" s="208"/>
      <c r="EE278" s="357"/>
      <c r="EI278" s="208"/>
    </row>
    <row r="279" spans="18:250">
      <c r="R279" s="357"/>
      <c r="V279" s="208"/>
      <c r="EE279" s="357"/>
      <c r="EI279" s="208"/>
    </row>
    <row r="280" spans="18:250">
      <c r="R280" s="357"/>
      <c r="V280" s="208"/>
      <c r="EE280" s="357"/>
      <c r="EI280" s="208"/>
    </row>
    <row r="281" spans="18:250">
      <c r="R281" s="357"/>
      <c r="V281" s="208"/>
      <c r="EE281" s="357"/>
      <c r="EI281" s="208"/>
    </row>
    <row r="282" spans="18:250">
      <c r="R282" s="357"/>
      <c r="V282" s="208"/>
      <c r="EE282" s="357"/>
      <c r="EI282" s="208"/>
    </row>
    <row r="283" spans="18:250">
      <c r="R283" s="357"/>
      <c r="V283" s="208"/>
      <c r="EE283" s="357"/>
      <c r="EI283" s="208"/>
    </row>
    <row r="284" spans="18:250">
      <c r="R284" s="357"/>
      <c r="V284" s="208"/>
      <c r="EE284" s="357"/>
      <c r="EI284" s="208"/>
    </row>
    <row r="285" spans="18:250">
      <c r="R285" s="357"/>
      <c r="V285" s="208"/>
      <c r="EE285" s="357"/>
      <c r="EI285" s="208"/>
    </row>
    <row r="286" spans="18:250">
      <c r="R286" s="357"/>
      <c r="V286" s="208"/>
      <c r="EE286" s="357"/>
      <c r="EI286" s="208"/>
    </row>
    <row r="287" spans="18:250">
      <c r="R287" s="357"/>
      <c r="V287" s="208"/>
      <c r="EE287" s="357"/>
      <c r="EI287" s="208"/>
    </row>
    <row r="288" spans="18:250">
      <c r="R288" s="357"/>
      <c r="V288" s="208"/>
      <c r="EE288" s="357"/>
      <c r="EI288" s="208"/>
    </row>
    <row r="289" spans="18:139">
      <c r="R289" s="357"/>
      <c r="V289" s="208"/>
      <c r="EE289" s="357"/>
      <c r="EI289" s="208"/>
    </row>
    <row r="290" spans="18:139">
      <c r="R290" s="357"/>
      <c r="V290" s="208"/>
      <c r="EE290" s="357"/>
      <c r="EI290" s="208"/>
    </row>
    <row r="291" spans="18:139">
      <c r="R291" s="357"/>
      <c r="V291" s="208"/>
      <c r="EE291" s="357"/>
      <c r="EI291" s="208"/>
    </row>
    <row r="292" spans="18:139">
      <c r="R292" s="357"/>
      <c r="V292" s="208"/>
      <c r="EE292" s="357"/>
      <c r="EI292" s="208"/>
    </row>
    <row r="293" spans="18:139">
      <c r="R293" s="357"/>
      <c r="V293" s="208"/>
      <c r="EE293" s="357"/>
      <c r="EI293" s="208"/>
    </row>
    <row r="294" spans="18:139">
      <c r="R294" s="357"/>
      <c r="V294" s="208"/>
      <c r="EE294" s="357"/>
      <c r="EI294" s="208"/>
    </row>
    <row r="295" spans="18:139">
      <c r="R295" s="357"/>
      <c r="V295" s="208"/>
      <c r="EE295" s="357"/>
      <c r="EI295" s="208"/>
    </row>
    <row r="296" spans="18:139">
      <c r="R296" s="357"/>
      <c r="V296" s="208"/>
      <c r="EE296" s="357"/>
      <c r="EI296" s="208"/>
    </row>
    <row r="297" spans="18:139">
      <c r="R297" s="357"/>
      <c r="V297" s="208"/>
      <c r="EE297" s="357"/>
      <c r="EI297" s="208"/>
    </row>
    <row r="298" spans="18:139">
      <c r="R298" s="357"/>
      <c r="V298" s="208"/>
      <c r="EE298" s="357"/>
      <c r="EI298" s="208"/>
    </row>
    <row r="299" spans="18:139">
      <c r="R299" s="357"/>
      <c r="V299" s="208"/>
      <c r="EE299" s="357"/>
      <c r="EI299" s="208"/>
    </row>
    <row r="300" spans="18:139">
      <c r="R300" s="357"/>
      <c r="V300" s="208"/>
      <c r="EE300" s="357"/>
      <c r="EI300" s="208"/>
    </row>
    <row r="301" spans="18:139">
      <c r="R301" s="357"/>
      <c r="V301" s="208"/>
      <c r="EE301" s="357"/>
      <c r="EI301" s="208"/>
    </row>
    <row r="302" spans="18:139">
      <c r="R302" s="357"/>
      <c r="V302" s="208"/>
      <c r="EE302" s="357"/>
      <c r="EI302" s="208"/>
    </row>
    <row r="303" spans="18:139">
      <c r="R303" s="357"/>
      <c r="V303" s="208"/>
      <c r="EE303" s="357"/>
      <c r="EI303" s="208"/>
    </row>
    <row r="304" spans="18:139">
      <c r="R304" s="357"/>
      <c r="V304" s="208"/>
      <c r="EE304" s="357"/>
      <c r="EI304" s="208"/>
    </row>
    <row r="305" spans="18:139">
      <c r="R305" s="357"/>
      <c r="V305" s="208"/>
      <c r="EE305" s="357"/>
      <c r="EI305" s="208"/>
    </row>
    <row r="306" spans="18:139">
      <c r="R306" s="357"/>
      <c r="V306" s="208"/>
      <c r="EE306" s="357"/>
      <c r="EI306" s="208"/>
    </row>
    <row r="307" spans="18:139">
      <c r="R307" s="357"/>
      <c r="V307" s="208"/>
      <c r="EE307" s="357"/>
      <c r="EI307" s="208"/>
    </row>
    <row r="308" spans="18:139">
      <c r="R308" s="357"/>
      <c r="V308" s="208"/>
      <c r="EE308" s="357"/>
      <c r="EI308" s="208"/>
    </row>
    <row r="309" spans="18:139">
      <c r="R309" s="357"/>
      <c r="V309" s="208"/>
      <c r="EE309" s="357"/>
      <c r="EI309" s="208"/>
    </row>
    <row r="310" spans="18:139">
      <c r="R310" s="357"/>
      <c r="V310" s="208"/>
      <c r="EE310" s="357"/>
      <c r="EI310" s="208"/>
    </row>
    <row r="311" spans="18:139">
      <c r="R311" s="357"/>
      <c r="V311" s="208"/>
      <c r="EE311" s="357"/>
      <c r="EI311" s="208"/>
    </row>
    <row r="312" spans="18:139">
      <c r="R312" s="357"/>
      <c r="V312" s="208"/>
      <c r="EE312" s="357"/>
      <c r="EI312" s="208"/>
    </row>
    <row r="313" spans="18:139">
      <c r="R313" s="357"/>
      <c r="V313" s="208"/>
      <c r="EE313" s="357"/>
      <c r="EI313" s="208"/>
    </row>
    <row r="314" spans="18:139">
      <c r="R314" s="357"/>
      <c r="V314" s="208"/>
      <c r="EE314" s="357"/>
      <c r="EI314" s="208"/>
    </row>
    <row r="315" spans="18:139">
      <c r="R315" s="357"/>
      <c r="V315" s="208"/>
      <c r="EE315" s="357"/>
      <c r="EI315" s="208"/>
    </row>
    <row r="316" spans="18:139">
      <c r="R316" s="357"/>
      <c r="V316" s="208"/>
      <c r="EE316" s="357"/>
      <c r="EI316" s="208"/>
    </row>
    <row r="317" spans="18:139">
      <c r="R317" s="357"/>
      <c r="V317" s="208"/>
      <c r="EE317" s="357"/>
      <c r="EI317" s="208"/>
    </row>
    <row r="318" spans="18:139">
      <c r="R318" s="357"/>
      <c r="V318" s="208"/>
      <c r="EE318" s="357"/>
      <c r="EI318" s="208"/>
    </row>
    <row r="319" spans="18:139">
      <c r="R319" s="357"/>
      <c r="V319" s="208"/>
      <c r="EE319" s="357"/>
      <c r="EI319" s="208"/>
    </row>
    <row r="320" spans="18:139">
      <c r="R320" s="357"/>
      <c r="V320" s="208"/>
      <c r="EE320" s="357"/>
      <c r="EI320" s="208"/>
    </row>
    <row r="321" spans="18:139">
      <c r="R321" s="357"/>
      <c r="V321" s="208"/>
      <c r="EE321" s="357"/>
      <c r="EI321" s="208"/>
    </row>
    <row r="322" spans="18:139">
      <c r="R322" s="357"/>
      <c r="V322" s="208"/>
      <c r="EE322" s="357"/>
      <c r="EI322" s="208"/>
    </row>
    <row r="323" spans="18:139">
      <c r="R323" s="357"/>
      <c r="V323" s="208"/>
      <c r="EE323" s="357"/>
      <c r="EI323" s="208"/>
    </row>
    <row r="324" spans="18:139">
      <c r="R324" s="357"/>
      <c r="V324" s="208"/>
      <c r="EE324" s="357"/>
      <c r="EI324" s="208"/>
    </row>
    <row r="325" spans="18:139">
      <c r="R325" s="357"/>
      <c r="V325" s="208"/>
      <c r="EE325" s="357"/>
      <c r="EI325" s="208"/>
    </row>
    <row r="326" spans="18:139">
      <c r="R326" s="357"/>
      <c r="V326" s="208"/>
      <c r="EE326" s="357"/>
      <c r="EI326" s="208"/>
    </row>
    <row r="327" spans="18:139">
      <c r="R327" s="357"/>
      <c r="V327" s="208"/>
      <c r="EE327" s="357"/>
      <c r="EI327" s="208"/>
    </row>
    <row r="328" spans="18:139">
      <c r="R328" s="357"/>
      <c r="V328" s="208"/>
      <c r="EE328" s="357"/>
      <c r="EI328" s="208"/>
    </row>
    <row r="329" spans="18:139">
      <c r="R329" s="357"/>
      <c r="V329" s="208"/>
      <c r="EE329" s="357"/>
      <c r="EI329" s="208"/>
    </row>
    <row r="330" spans="18:139">
      <c r="R330" s="357"/>
      <c r="V330" s="208"/>
      <c r="EE330" s="357"/>
      <c r="EI330" s="208"/>
    </row>
    <row r="331" spans="18:139">
      <c r="R331" s="357"/>
      <c r="V331" s="208"/>
      <c r="EE331" s="357"/>
      <c r="EI331" s="208"/>
    </row>
    <row r="332" spans="18:139">
      <c r="R332" s="357"/>
      <c r="V332" s="208"/>
      <c r="EE332" s="357"/>
      <c r="EI332" s="208"/>
    </row>
    <row r="333" spans="18:139">
      <c r="R333" s="357"/>
      <c r="V333" s="208"/>
      <c r="EE333" s="357"/>
      <c r="EI333" s="208"/>
    </row>
    <row r="334" spans="18:139">
      <c r="R334" s="357"/>
      <c r="V334" s="208"/>
      <c r="EE334" s="357"/>
      <c r="EI334" s="208"/>
    </row>
    <row r="335" spans="18:139">
      <c r="R335" s="357"/>
      <c r="V335" s="208"/>
      <c r="EE335" s="357"/>
      <c r="EI335" s="208"/>
    </row>
    <row r="336" spans="18:139">
      <c r="R336" s="357"/>
      <c r="V336" s="208"/>
      <c r="EE336" s="357"/>
      <c r="EI336" s="208"/>
    </row>
    <row r="337" spans="18:139">
      <c r="R337" s="357"/>
      <c r="V337" s="208"/>
      <c r="EE337" s="357"/>
      <c r="EI337" s="208"/>
    </row>
    <row r="338" spans="18:139">
      <c r="R338" s="357"/>
      <c r="V338" s="208"/>
      <c r="EE338" s="357"/>
      <c r="EI338" s="208"/>
    </row>
    <row r="339" spans="18:139">
      <c r="R339" s="357"/>
      <c r="V339" s="208"/>
      <c r="EE339" s="357"/>
      <c r="EI339" s="208"/>
    </row>
    <row r="340" spans="18:139">
      <c r="R340" s="357"/>
      <c r="V340" s="208"/>
      <c r="EE340" s="357"/>
      <c r="EI340" s="208"/>
    </row>
    <row r="341" spans="18:139">
      <c r="R341" s="357"/>
      <c r="V341" s="208"/>
      <c r="EE341" s="357"/>
      <c r="EI341" s="208"/>
    </row>
    <row r="342" spans="18:139">
      <c r="R342" s="357"/>
      <c r="V342" s="208"/>
      <c r="EE342" s="357"/>
      <c r="EI342" s="208"/>
    </row>
    <row r="343" spans="18:139">
      <c r="R343" s="357"/>
      <c r="V343" s="208"/>
      <c r="EE343" s="357"/>
      <c r="EI343" s="208"/>
    </row>
    <row r="344" spans="18:139">
      <c r="R344" s="357"/>
      <c r="V344" s="208"/>
      <c r="EE344" s="357"/>
      <c r="EI344" s="208"/>
    </row>
    <row r="345" spans="18:139">
      <c r="R345" s="357"/>
      <c r="V345" s="208"/>
      <c r="EE345" s="357"/>
      <c r="EI345" s="208"/>
    </row>
    <row r="346" spans="18:139">
      <c r="R346" s="357"/>
      <c r="V346" s="208"/>
      <c r="EE346" s="357"/>
      <c r="EI346" s="208"/>
    </row>
    <row r="347" spans="18:139">
      <c r="R347" s="357"/>
      <c r="V347" s="208"/>
      <c r="EE347" s="357"/>
      <c r="EI347" s="208"/>
    </row>
    <row r="348" spans="18:139">
      <c r="R348" s="357"/>
      <c r="V348" s="208"/>
      <c r="EE348" s="357"/>
      <c r="EI348" s="208"/>
    </row>
    <row r="349" spans="18:139">
      <c r="R349" s="357"/>
      <c r="V349" s="208"/>
      <c r="EE349" s="357"/>
      <c r="EH349" s="415"/>
      <c r="EI349" s="208"/>
    </row>
    <row r="350" spans="18:139">
      <c r="R350" s="357"/>
      <c r="V350" s="208"/>
      <c r="EE350" s="357"/>
      <c r="EI350" s="208"/>
    </row>
    <row r="351" spans="18:139">
      <c r="R351" s="357"/>
      <c r="V351" s="208"/>
      <c r="EE351" s="357"/>
      <c r="EI351" s="208"/>
    </row>
    <row r="352" spans="18:139">
      <c r="R352" s="357"/>
      <c r="V352" s="208"/>
      <c r="EE352" s="357"/>
      <c r="EI352" s="208"/>
    </row>
    <row r="353" spans="18:139">
      <c r="R353" s="357"/>
      <c r="V353" s="208"/>
      <c r="EE353" s="357"/>
      <c r="EI353" s="208"/>
    </row>
    <row r="354" spans="18:139">
      <c r="R354" s="357"/>
      <c r="V354" s="208"/>
      <c r="EE354" s="357"/>
      <c r="EI354" s="208"/>
    </row>
    <row r="355" spans="18:139">
      <c r="R355" s="357"/>
      <c r="V355" s="208"/>
      <c r="EE355" s="357"/>
      <c r="EI355" s="208"/>
    </row>
    <row r="356" spans="18:139">
      <c r="R356" s="357"/>
      <c r="V356" s="208"/>
      <c r="EE356" s="357"/>
      <c r="EI356" s="208"/>
    </row>
    <row r="357" spans="18:139">
      <c r="R357" s="357"/>
      <c r="V357" s="208"/>
      <c r="EE357" s="357"/>
      <c r="EI357" s="208"/>
    </row>
    <row r="358" spans="18:139">
      <c r="R358" s="357"/>
      <c r="V358" s="208"/>
      <c r="EE358" s="357"/>
      <c r="EI358" s="208"/>
    </row>
    <row r="359" spans="18:139">
      <c r="R359" s="357"/>
      <c r="V359" s="208"/>
      <c r="EE359" s="357"/>
      <c r="EI359" s="208"/>
    </row>
    <row r="360" spans="18:139">
      <c r="R360" s="357"/>
      <c r="V360" s="208"/>
      <c r="EE360" s="357"/>
      <c r="EI360" s="208"/>
    </row>
    <row r="361" spans="18:139">
      <c r="R361" s="357"/>
      <c r="V361" s="208"/>
      <c r="EE361" s="357"/>
      <c r="EI361" s="208"/>
    </row>
    <row r="362" spans="18:139">
      <c r="R362" s="357"/>
      <c r="V362" s="208"/>
      <c r="EE362" s="357"/>
      <c r="EI362" s="208"/>
    </row>
    <row r="363" spans="18:139">
      <c r="R363" s="357"/>
      <c r="V363" s="208"/>
      <c r="EE363" s="357"/>
      <c r="EI363" s="208"/>
    </row>
    <row r="364" spans="18:139">
      <c r="R364" s="357"/>
      <c r="V364" s="208"/>
      <c r="EE364" s="357"/>
      <c r="EI364" s="208"/>
    </row>
    <row r="365" spans="18:139">
      <c r="R365" s="357"/>
      <c r="V365" s="208"/>
      <c r="EE365" s="357"/>
      <c r="EI365" s="208"/>
    </row>
    <row r="366" spans="18:139">
      <c r="R366" s="357"/>
      <c r="V366" s="208"/>
      <c r="EE366" s="357"/>
      <c r="EI366" s="208"/>
    </row>
    <row r="367" spans="18:139">
      <c r="R367" s="357"/>
      <c r="V367" s="208"/>
      <c r="EE367" s="357"/>
      <c r="EI367" s="208"/>
    </row>
    <row r="368" spans="18:139">
      <c r="R368" s="357"/>
      <c r="V368" s="208"/>
      <c r="EE368" s="357"/>
      <c r="EI368" s="208"/>
    </row>
    <row r="369" spans="18:139">
      <c r="R369" s="357"/>
      <c r="V369" s="208"/>
      <c r="EE369" s="357"/>
      <c r="EI369" s="208"/>
    </row>
    <row r="370" spans="18:139">
      <c r="R370" s="357"/>
      <c r="V370" s="208"/>
      <c r="EE370" s="357"/>
      <c r="EI370" s="208"/>
    </row>
    <row r="371" spans="18:139">
      <c r="R371" s="357"/>
      <c r="V371" s="208"/>
      <c r="EE371" s="357"/>
      <c r="EI371" s="208"/>
    </row>
    <row r="372" spans="18:139">
      <c r="R372" s="357"/>
      <c r="V372" s="208"/>
      <c r="EE372" s="357"/>
      <c r="EI372" s="208"/>
    </row>
    <row r="373" spans="18:139">
      <c r="R373" s="357"/>
      <c r="V373" s="208"/>
      <c r="EE373" s="357"/>
      <c r="EI373" s="208"/>
    </row>
    <row r="374" spans="18:139">
      <c r="R374" s="357"/>
      <c r="V374" s="208"/>
      <c r="EE374" s="357"/>
      <c r="EI374" s="208"/>
    </row>
    <row r="375" spans="18:139">
      <c r="R375" s="357"/>
      <c r="V375" s="208"/>
      <c r="EE375" s="357"/>
      <c r="EI375" s="208"/>
    </row>
    <row r="376" spans="18:139">
      <c r="R376" s="357"/>
      <c r="V376" s="208"/>
      <c r="EE376" s="357"/>
      <c r="EI376" s="208"/>
    </row>
    <row r="377" spans="18:139">
      <c r="R377" s="357"/>
      <c r="V377" s="208"/>
      <c r="EE377" s="357"/>
      <c r="EI377" s="208"/>
    </row>
    <row r="378" spans="18:139">
      <c r="R378" s="357"/>
      <c r="V378" s="208"/>
      <c r="EE378" s="357"/>
      <c r="EI378" s="208"/>
    </row>
    <row r="379" spans="18:139">
      <c r="R379" s="357"/>
      <c r="V379" s="208"/>
      <c r="EE379" s="357"/>
      <c r="EI379" s="208"/>
    </row>
    <row r="380" spans="18:139">
      <c r="R380" s="357"/>
      <c r="V380" s="208"/>
      <c r="EE380" s="357"/>
      <c r="EI380" s="208"/>
    </row>
    <row r="381" spans="18:139">
      <c r="R381" s="357"/>
      <c r="V381" s="208"/>
      <c r="EE381" s="357"/>
      <c r="EI381" s="208"/>
    </row>
    <row r="382" spans="18:139">
      <c r="R382" s="357"/>
      <c r="V382" s="208"/>
      <c r="EE382" s="357"/>
      <c r="EI382" s="208"/>
    </row>
    <row r="383" spans="18:139">
      <c r="R383" s="357"/>
      <c r="V383" s="208"/>
      <c r="EE383" s="357"/>
      <c r="EI383" s="208"/>
    </row>
    <row r="384" spans="18:139">
      <c r="R384" s="357"/>
      <c r="V384" s="208"/>
      <c r="EE384" s="357"/>
      <c r="EI384" s="208"/>
    </row>
    <row r="385" spans="18:139">
      <c r="R385" s="357"/>
      <c r="V385" s="208"/>
      <c r="EE385" s="357"/>
      <c r="EI385" s="208"/>
    </row>
    <row r="386" spans="18:139">
      <c r="R386" s="357"/>
      <c r="V386" s="208"/>
      <c r="EE386" s="357"/>
      <c r="EI386" s="208"/>
    </row>
    <row r="387" spans="18:139">
      <c r="R387" s="357"/>
      <c r="V387" s="208"/>
      <c r="EE387" s="357"/>
      <c r="EI387" s="208"/>
    </row>
    <row r="388" spans="18:139">
      <c r="R388" s="357"/>
      <c r="V388" s="208"/>
      <c r="EE388" s="357"/>
      <c r="EI388" s="208"/>
    </row>
    <row r="389" spans="18:139">
      <c r="R389" s="357"/>
      <c r="V389" s="208"/>
      <c r="EE389" s="357"/>
      <c r="EI389" s="208"/>
    </row>
    <row r="390" spans="18:139">
      <c r="R390" s="357"/>
      <c r="V390" s="208"/>
      <c r="EE390" s="357"/>
      <c r="EI390" s="208"/>
    </row>
    <row r="391" spans="18:139">
      <c r="R391" s="357"/>
      <c r="V391" s="208"/>
      <c r="EE391" s="357"/>
      <c r="EI391" s="208"/>
    </row>
    <row r="392" spans="18:139">
      <c r="R392" s="357"/>
      <c r="V392" s="208"/>
      <c r="EE392" s="357"/>
      <c r="EI392" s="208"/>
    </row>
    <row r="393" spans="18:139">
      <c r="R393" s="357"/>
      <c r="V393" s="208"/>
      <c r="EE393" s="357"/>
      <c r="EI393" s="208"/>
    </row>
    <row r="394" spans="18:139">
      <c r="R394" s="357"/>
      <c r="V394" s="208"/>
      <c r="EE394" s="357"/>
      <c r="EI394" s="208"/>
    </row>
    <row r="395" spans="18:139">
      <c r="R395" s="357"/>
      <c r="V395" s="208"/>
      <c r="EE395" s="357"/>
      <c r="EI395" s="208"/>
    </row>
    <row r="396" spans="18:139">
      <c r="R396" s="357"/>
      <c r="V396" s="208"/>
      <c r="EE396" s="357"/>
      <c r="EI396" s="208"/>
    </row>
    <row r="397" spans="18:139">
      <c r="R397" s="357"/>
      <c r="V397" s="208"/>
      <c r="EE397" s="357"/>
      <c r="EI397" s="208"/>
    </row>
    <row r="398" spans="18:139">
      <c r="R398" s="357"/>
      <c r="V398" s="208"/>
      <c r="EE398" s="357"/>
      <c r="EI398" s="208"/>
    </row>
    <row r="399" spans="18:139">
      <c r="R399" s="357"/>
      <c r="V399" s="208"/>
      <c r="EE399" s="357"/>
      <c r="EI399" s="208"/>
    </row>
    <row r="400" spans="18:139">
      <c r="R400" s="357"/>
      <c r="V400" s="208"/>
      <c r="EE400" s="357"/>
      <c r="EI400" s="208"/>
    </row>
    <row r="401" spans="18:139">
      <c r="R401" s="357"/>
      <c r="V401" s="208"/>
      <c r="EE401" s="357"/>
      <c r="EI401" s="208"/>
    </row>
    <row r="402" spans="18:139">
      <c r="R402" s="357"/>
      <c r="V402" s="208"/>
      <c r="EE402" s="357"/>
      <c r="EI402" s="208"/>
    </row>
    <row r="403" spans="18:139">
      <c r="R403" s="357"/>
      <c r="V403" s="208"/>
      <c r="EE403" s="357"/>
      <c r="EI403" s="208"/>
    </row>
    <row r="404" spans="18:139">
      <c r="R404" s="357"/>
      <c r="V404" s="208"/>
      <c r="EE404" s="357"/>
      <c r="EI404" s="208"/>
    </row>
    <row r="405" spans="18:139">
      <c r="R405" s="357"/>
      <c r="V405" s="208"/>
      <c r="EE405" s="357"/>
      <c r="EI405" s="208"/>
    </row>
    <row r="406" spans="18:139">
      <c r="R406" s="357"/>
      <c r="V406" s="208"/>
      <c r="EE406" s="357"/>
      <c r="EI406" s="208"/>
    </row>
    <row r="407" spans="18:139">
      <c r="R407" s="357"/>
      <c r="V407" s="208"/>
      <c r="EE407" s="357"/>
      <c r="EI407" s="208"/>
    </row>
    <row r="408" spans="18:139">
      <c r="R408" s="357"/>
      <c r="V408" s="208"/>
      <c r="EE408" s="357"/>
      <c r="EI408" s="208"/>
    </row>
    <row r="409" spans="18:139">
      <c r="R409" s="357"/>
      <c r="V409" s="208"/>
      <c r="EE409" s="357"/>
      <c r="EI409" s="208"/>
    </row>
    <row r="410" spans="18:139">
      <c r="R410" s="357"/>
      <c r="V410" s="208"/>
      <c r="EE410" s="357"/>
      <c r="EI410" s="208"/>
    </row>
    <row r="411" spans="18:139">
      <c r="R411" s="357"/>
      <c r="V411" s="208"/>
      <c r="EE411" s="357"/>
      <c r="EI411" s="208"/>
    </row>
    <row r="412" spans="18:139">
      <c r="R412" s="357"/>
      <c r="V412" s="208"/>
      <c r="EE412" s="357"/>
      <c r="EI412" s="208"/>
    </row>
    <row r="413" spans="18:139">
      <c r="R413" s="357"/>
      <c r="V413" s="208"/>
      <c r="EE413" s="357"/>
      <c r="EI413" s="208"/>
    </row>
    <row r="414" spans="18:139">
      <c r="R414" s="357"/>
      <c r="V414" s="208"/>
      <c r="EE414" s="357"/>
      <c r="EI414" s="208"/>
    </row>
    <row r="415" spans="18:139">
      <c r="R415" s="357"/>
      <c r="V415" s="208"/>
      <c r="EE415" s="357"/>
      <c r="EI415" s="208"/>
    </row>
    <row r="416" spans="18:139">
      <c r="R416" s="357"/>
      <c r="V416" s="208"/>
      <c r="EE416" s="357"/>
      <c r="EI416" s="208"/>
    </row>
    <row r="417" spans="18:139">
      <c r="R417" s="357"/>
      <c r="V417" s="208"/>
      <c r="EE417" s="357"/>
      <c r="EI417" s="208"/>
    </row>
    <row r="418" spans="18:139">
      <c r="R418" s="357"/>
      <c r="V418" s="208"/>
      <c r="EE418" s="357"/>
      <c r="EI418" s="208"/>
    </row>
    <row r="419" spans="18:139">
      <c r="R419" s="357"/>
      <c r="V419" s="208"/>
      <c r="EE419" s="357"/>
      <c r="EI419" s="208"/>
    </row>
    <row r="420" spans="18:139">
      <c r="R420" s="357"/>
      <c r="V420" s="208"/>
      <c r="EE420" s="357"/>
      <c r="EI420" s="208"/>
    </row>
    <row r="421" spans="18:139">
      <c r="R421" s="357"/>
      <c r="V421" s="208"/>
      <c r="EE421" s="357"/>
      <c r="EI421" s="208"/>
    </row>
    <row r="422" spans="18:139">
      <c r="R422" s="357"/>
      <c r="V422" s="208"/>
      <c r="EE422" s="357"/>
      <c r="EI422" s="208"/>
    </row>
    <row r="423" spans="18:139">
      <c r="R423" s="357"/>
      <c r="V423" s="208"/>
      <c r="EE423" s="357"/>
      <c r="EI423" s="208"/>
    </row>
    <row r="424" spans="18:139">
      <c r="R424" s="357"/>
      <c r="V424" s="208"/>
      <c r="EE424" s="357"/>
      <c r="EI424" s="208"/>
    </row>
    <row r="425" spans="18:139">
      <c r="R425" s="357"/>
      <c r="V425" s="208"/>
      <c r="EE425" s="357"/>
      <c r="EI425" s="208"/>
    </row>
    <row r="426" spans="18:139">
      <c r="R426" s="357"/>
      <c r="V426" s="208"/>
      <c r="EE426" s="357"/>
      <c r="EI426" s="208"/>
    </row>
    <row r="427" spans="18:139">
      <c r="R427" s="357"/>
      <c r="V427" s="208"/>
      <c r="EE427" s="357"/>
      <c r="EI427" s="208"/>
    </row>
    <row r="428" spans="18:139">
      <c r="R428" s="357"/>
      <c r="V428" s="208"/>
      <c r="EE428" s="357"/>
      <c r="EI428" s="208"/>
    </row>
    <row r="429" spans="18:139">
      <c r="R429" s="357"/>
      <c r="V429" s="208"/>
      <c r="EE429" s="357"/>
      <c r="EI429" s="208"/>
    </row>
    <row r="430" spans="18:139">
      <c r="R430" s="357"/>
      <c r="V430" s="208"/>
      <c r="EE430" s="357"/>
      <c r="EI430" s="208"/>
    </row>
    <row r="431" spans="18:139">
      <c r="R431" s="357"/>
      <c r="V431" s="208"/>
      <c r="EE431" s="357"/>
      <c r="EI431" s="208"/>
    </row>
    <row r="432" spans="18:139">
      <c r="R432" s="357"/>
      <c r="V432" s="208"/>
      <c r="EE432" s="357"/>
      <c r="EI432" s="208"/>
    </row>
    <row r="433" spans="18:139">
      <c r="R433" s="357"/>
      <c r="V433" s="208"/>
      <c r="EE433" s="357"/>
      <c r="EI433" s="208"/>
    </row>
    <row r="434" spans="18:139">
      <c r="R434" s="357"/>
      <c r="V434" s="208"/>
      <c r="EE434" s="357"/>
      <c r="EI434" s="208"/>
    </row>
    <row r="435" spans="18:139">
      <c r="R435" s="357"/>
      <c r="V435" s="208"/>
      <c r="EE435" s="357"/>
      <c r="EI435" s="208"/>
    </row>
    <row r="436" spans="18:139">
      <c r="R436" s="357"/>
      <c r="V436" s="208"/>
      <c r="EE436" s="357"/>
      <c r="EI436" s="208"/>
    </row>
    <row r="437" spans="18:139">
      <c r="R437" s="357"/>
      <c r="V437" s="208"/>
      <c r="EE437" s="357"/>
      <c r="EI437" s="208"/>
    </row>
    <row r="438" spans="18:139">
      <c r="R438" s="357"/>
      <c r="V438" s="208"/>
      <c r="EE438" s="357"/>
      <c r="EI438" s="208"/>
    </row>
    <row r="439" spans="18:139">
      <c r="R439" s="357"/>
      <c r="V439" s="208"/>
      <c r="EE439" s="357"/>
      <c r="EI439" s="208"/>
    </row>
    <row r="440" spans="18:139">
      <c r="R440" s="357"/>
      <c r="V440" s="208"/>
      <c r="EE440" s="357"/>
      <c r="EI440" s="208"/>
    </row>
    <row r="441" spans="18:139">
      <c r="R441" s="357"/>
      <c r="V441" s="208"/>
      <c r="EE441" s="357"/>
      <c r="EI441" s="208"/>
    </row>
    <row r="442" spans="18:139">
      <c r="R442" s="357"/>
      <c r="V442" s="208"/>
      <c r="EE442" s="357"/>
      <c r="EI442" s="208"/>
    </row>
    <row r="443" spans="18:139">
      <c r="R443" s="357"/>
      <c r="V443" s="208"/>
      <c r="EE443" s="357"/>
      <c r="EI443" s="208"/>
    </row>
    <row r="444" spans="18:139">
      <c r="R444" s="357"/>
      <c r="V444" s="208"/>
      <c r="EE444" s="357"/>
      <c r="EI444" s="208"/>
    </row>
    <row r="445" spans="18:139">
      <c r="R445" s="357"/>
      <c r="V445" s="208"/>
      <c r="EE445" s="357"/>
      <c r="EI445" s="208"/>
    </row>
    <row r="446" spans="18:139">
      <c r="R446" s="357"/>
      <c r="V446" s="208"/>
      <c r="EE446" s="357"/>
      <c r="EI446" s="208"/>
    </row>
    <row r="447" spans="18:139">
      <c r="R447" s="357"/>
      <c r="V447" s="208"/>
      <c r="EE447" s="357"/>
      <c r="EI447" s="208"/>
    </row>
    <row r="448" spans="18:139">
      <c r="R448" s="357"/>
      <c r="V448" s="208"/>
      <c r="EE448" s="357"/>
      <c r="EI448" s="208"/>
    </row>
    <row r="449" spans="18:139">
      <c r="R449" s="357"/>
      <c r="V449" s="208"/>
      <c r="EE449" s="357"/>
      <c r="EI449" s="208"/>
    </row>
    <row r="450" spans="18:139">
      <c r="R450" s="357"/>
      <c r="V450" s="208"/>
      <c r="EE450" s="357"/>
      <c r="EI450" s="208"/>
    </row>
    <row r="451" spans="18:139">
      <c r="R451" s="357"/>
      <c r="V451" s="208"/>
      <c r="EE451" s="357"/>
      <c r="EI451" s="208"/>
    </row>
    <row r="452" spans="18:139">
      <c r="R452" s="357"/>
      <c r="V452" s="208"/>
      <c r="EE452" s="357"/>
      <c r="EI452" s="208"/>
    </row>
    <row r="453" spans="18:139">
      <c r="R453" s="357"/>
      <c r="V453" s="208"/>
      <c r="EE453" s="357"/>
      <c r="EI453" s="208"/>
    </row>
    <row r="454" spans="18:139">
      <c r="R454" s="357"/>
      <c r="V454" s="208"/>
      <c r="EE454" s="357"/>
      <c r="EI454" s="208"/>
    </row>
    <row r="455" spans="18:139">
      <c r="R455" s="357"/>
      <c r="V455" s="208"/>
      <c r="EE455" s="357"/>
      <c r="EI455" s="208"/>
    </row>
    <row r="456" spans="18:139">
      <c r="R456" s="357"/>
      <c r="V456" s="208"/>
      <c r="EE456" s="357"/>
      <c r="EI456" s="208"/>
    </row>
    <row r="457" spans="18:139">
      <c r="R457" s="357"/>
      <c r="V457" s="208"/>
      <c r="EE457" s="357"/>
      <c r="EI457" s="208"/>
    </row>
    <row r="458" spans="18:139">
      <c r="R458" s="357"/>
      <c r="V458" s="208"/>
      <c r="EE458" s="357"/>
      <c r="EI458" s="208"/>
    </row>
    <row r="459" spans="18:139">
      <c r="R459" s="357"/>
      <c r="V459" s="208"/>
      <c r="EE459" s="357"/>
      <c r="EI459" s="208"/>
    </row>
    <row r="460" spans="18:139">
      <c r="R460" s="357"/>
      <c r="V460" s="208"/>
      <c r="EE460" s="357"/>
      <c r="EI460" s="208"/>
    </row>
    <row r="461" spans="18:139">
      <c r="R461" s="357"/>
      <c r="V461" s="208"/>
      <c r="EE461" s="357"/>
      <c r="EI461" s="208"/>
    </row>
    <row r="462" spans="18:139">
      <c r="R462" s="357"/>
      <c r="V462" s="208"/>
      <c r="EE462" s="357"/>
      <c r="EI462" s="208"/>
    </row>
    <row r="463" spans="18:139">
      <c r="R463" s="357"/>
      <c r="V463" s="208"/>
      <c r="EE463" s="357"/>
      <c r="EI463" s="208"/>
    </row>
    <row r="464" spans="18:139">
      <c r="R464" s="357"/>
      <c r="V464" s="208"/>
      <c r="EE464" s="357"/>
      <c r="EI464" s="208"/>
    </row>
    <row r="465" spans="18:139">
      <c r="R465" s="357"/>
      <c r="V465" s="208"/>
      <c r="EE465" s="357"/>
      <c r="EI465" s="208"/>
    </row>
    <row r="466" spans="18:139">
      <c r="R466" s="357"/>
      <c r="V466" s="208"/>
      <c r="EE466" s="357"/>
      <c r="EI466" s="208"/>
    </row>
    <row r="467" spans="18:139">
      <c r="R467" s="357"/>
      <c r="V467" s="208"/>
      <c r="EE467" s="357"/>
      <c r="EI467" s="208"/>
    </row>
    <row r="468" spans="18:139">
      <c r="R468" s="357"/>
      <c r="V468" s="208"/>
      <c r="EE468" s="357"/>
      <c r="EI468" s="208"/>
    </row>
    <row r="469" spans="18:139">
      <c r="R469" s="357"/>
      <c r="V469" s="208"/>
      <c r="EE469" s="357"/>
      <c r="EI469" s="208"/>
    </row>
    <row r="470" spans="18:139">
      <c r="R470" s="357"/>
      <c r="V470" s="208"/>
      <c r="EE470" s="357"/>
      <c r="EI470" s="208"/>
    </row>
    <row r="471" spans="18:139">
      <c r="R471" s="357"/>
      <c r="V471" s="208"/>
      <c r="EE471" s="357"/>
      <c r="EI471" s="208"/>
    </row>
    <row r="472" spans="18:139">
      <c r="R472" s="357"/>
      <c r="V472" s="208"/>
      <c r="EE472" s="357"/>
      <c r="EI472" s="208"/>
    </row>
    <row r="473" spans="18:139">
      <c r="R473" s="357"/>
      <c r="V473" s="208"/>
      <c r="EE473" s="357"/>
      <c r="EI473" s="208"/>
    </row>
    <row r="474" spans="18:139">
      <c r="R474" s="357"/>
      <c r="V474" s="208"/>
      <c r="EE474" s="357"/>
      <c r="EI474" s="208"/>
    </row>
    <row r="475" spans="18:139">
      <c r="R475" s="357"/>
      <c r="V475" s="208"/>
      <c r="EE475" s="357"/>
      <c r="EI475" s="208"/>
    </row>
    <row r="476" spans="18:139">
      <c r="R476" s="357"/>
      <c r="V476" s="208"/>
      <c r="EE476" s="357"/>
      <c r="EI476" s="208"/>
    </row>
    <row r="477" spans="18:139">
      <c r="R477" s="357"/>
      <c r="V477" s="208"/>
      <c r="EE477" s="357"/>
      <c r="EI477" s="208"/>
    </row>
    <row r="478" spans="18:139">
      <c r="R478" s="357"/>
      <c r="V478" s="208"/>
      <c r="EE478" s="357"/>
      <c r="EI478" s="208"/>
    </row>
    <row r="479" spans="18:139">
      <c r="R479" s="357"/>
      <c r="V479" s="208"/>
      <c r="EE479" s="357"/>
      <c r="EI479" s="208"/>
    </row>
    <row r="480" spans="18:139">
      <c r="R480" s="357"/>
      <c r="V480" s="208"/>
      <c r="EE480" s="357"/>
      <c r="EI480" s="208"/>
    </row>
    <row r="481" spans="18:139">
      <c r="R481" s="357"/>
      <c r="V481" s="208"/>
      <c r="EE481" s="357"/>
      <c r="EI481" s="208"/>
    </row>
    <row r="482" spans="18:139">
      <c r="R482" s="357"/>
      <c r="V482" s="208"/>
      <c r="EE482" s="357"/>
      <c r="EI482" s="208"/>
    </row>
    <row r="483" spans="18:139">
      <c r="R483" s="357"/>
      <c r="V483" s="208"/>
      <c r="EE483" s="357"/>
      <c r="EI483" s="208"/>
    </row>
    <row r="484" spans="18:139">
      <c r="R484" s="357"/>
      <c r="V484" s="208"/>
      <c r="EE484" s="357"/>
      <c r="EI484" s="208"/>
    </row>
    <row r="485" spans="18:139">
      <c r="R485" s="357"/>
      <c r="V485" s="208"/>
      <c r="EE485" s="357"/>
      <c r="EI485" s="208"/>
    </row>
    <row r="486" spans="18:139">
      <c r="R486" s="357"/>
      <c r="V486" s="208"/>
      <c r="EE486" s="357"/>
      <c r="EI486" s="208"/>
    </row>
    <row r="487" spans="18:139">
      <c r="R487" s="357"/>
      <c r="V487" s="208"/>
      <c r="EE487" s="357"/>
      <c r="EI487" s="208"/>
    </row>
    <row r="488" spans="18:139">
      <c r="R488" s="357"/>
      <c r="V488" s="208"/>
      <c r="EE488" s="357"/>
      <c r="EI488" s="208"/>
    </row>
    <row r="489" spans="18:139">
      <c r="R489" s="357"/>
      <c r="V489" s="208"/>
      <c r="EE489" s="357"/>
      <c r="EI489" s="208"/>
    </row>
    <row r="490" spans="18:139">
      <c r="R490" s="357"/>
      <c r="V490" s="208"/>
      <c r="EE490" s="357"/>
      <c r="EI490" s="208"/>
    </row>
    <row r="491" spans="18:139">
      <c r="R491" s="357"/>
      <c r="V491" s="208"/>
      <c r="EE491" s="357"/>
      <c r="EI491" s="208"/>
    </row>
    <row r="492" spans="18:139">
      <c r="R492" s="357"/>
      <c r="V492" s="208"/>
      <c r="EE492" s="357"/>
      <c r="EI492" s="208"/>
    </row>
    <row r="493" spans="18:139">
      <c r="R493" s="357"/>
      <c r="V493" s="208"/>
      <c r="EE493" s="357"/>
      <c r="EI493" s="208"/>
    </row>
    <row r="494" spans="18:139">
      <c r="R494" s="357"/>
      <c r="V494" s="208"/>
      <c r="EE494" s="357"/>
      <c r="EI494" s="208"/>
    </row>
    <row r="495" spans="18:139">
      <c r="R495" s="357"/>
      <c r="V495" s="208"/>
      <c r="EE495" s="357"/>
      <c r="EI495" s="208"/>
    </row>
    <row r="496" spans="18:139">
      <c r="R496" s="357"/>
      <c r="V496" s="208"/>
      <c r="EE496" s="357"/>
      <c r="EI496" s="208"/>
    </row>
    <row r="497" spans="18:139">
      <c r="R497" s="357"/>
      <c r="V497" s="208"/>
      <c r="EE497" s="357"/>
      <c r="EI497" s="208"/>
    </row>
    <row r="498" spans="18:139">
      <c r="R498" s="357"/>
      <c r="V498" s="208"/>
      <c r="EE498" s="357"/>
      <c r="EI498" s="208"/>
    </row>
    <row r="499" spans="18:139">
      <c r="R499" s="357"/>
      <c r="V499" s="208"/>
      <c r="EE499" s="357"/>
      <c r="EI499" s="208"/>
    </row>
    <row r="500" spans="18:139">
      <c r="R500" s="357"/>
      <c r="V500" s="208"/>
      <c r="EE500" s="357"/>
      <c r="EI500" s="208"/>
    </row>
    <row r="501" spans="18:139">
      <c r="R501" s="357"/>
      <c r="V501" s="208"/>
      <c r="EE501" s="357"/>
      <c r="EI501" s="208"/>
    </row>
    <row r="502" spans="18:139">
      <c r="R502" s="357"/>
      <c r="V502" s="208"/>
      <c r="EE502" s="357"/>
      <c r="EI502" s="208"/>
    </row>
    <row r="503" spans="18:139">
      <c r="R503" s="357"/>
      <c r="V503" s="208"/>
      <c r="EE503" s="357"/>
      <c r="EI503" s="208"/>
    </row>
    <row r="504" spans="18:139">
      <c r="R504" s="357"/>
      <c r="V504" s="208"/>
      <c r="EE504" s="357"/>
      <c r="EI504" s="208"/>
    </row>
    <row r="505" spans="18:139">
      <c r="R505" s="357"/>
      <c r="V505" s="208"/>
      <c r="EE505" s="357"/>
      <c r="EI505" s="208"/>
    </row>
    <row r="506" spans="18:139">
      <c r="R506" s="357"/>
      <c r="V506" s="208"/>
      <c r="EE506" s="357"/>
      <c r="EI506" s="208"/>
    </row>
    <row r="507" spans="18:139">
      <c r="R507" s="357"/>
      <c r="V507" s="208"/>
      <c r="EE507" s="357"/>
      <c r="EI507" s="208"/>
    </row>
    <row r="508" spans="18:139">
      <c r="R508" s="357"/>
      <c r="V508" s="208"/>
      <c r="EE508" s="357"/>
      <c r="EI508" s="208"/>
    </row>
    <row r="509" spans="18:139">
      <c r="R509" s="357"/>
      <c r="V509" s="208"/>
      <c r="EE509" s="357"/>
      <c r="EI509" s="208"/>
    </row>
    <row r="510" spans="18:139">
      <c r="R510" s="357"/>
      <c r="V510" s="208"/>
      <c r="EE510" s="357"/>
      <c r="EI510" s="208"/>
    </row>
    <row r="511" spans="18:139">
      <c r="R511" s="357"/>
      <c r="V511" s="208"/>
      <c r="EE511" s="357"/>
      <c r="EI511" s="208"/>
    </row>
    <row r="512" spans="18:139">
      <c r="R512" s="357"/>
      <c r="V512" s="208"/>
      <c r="EE512" s="357"/>
      <c r="EI512" s="208"/>
    </row>
    <row r="513" spans="18:139">
      <c r="R513" s="357"/>
      <c r="V513" s="208"/>
      <c r="EE513" s="357"/>
      <c r="EI513" s="208"/>
    </row>
    <row r="514" spans="18:139">
      <c r="R514" s="357"/>
      <c r="V514" s="208"/>
      <c r="EE514" s="357"/>
      <c r="EI514" s="208"/>
    </row>
    <row r="515" spans="18:139">
      <c r="R515" s="357"/>
      <c r="V515" s="208"/>
      <c r="EE515" s="357"/>
      <c r="EI515" s="208"/>
    </row>
    <row r="516" spans="18:139">
      <c r="R516" s="357"/>
      <c r="V516" s="208"/>
      <c r="EE516" s="357"/>
      <c r="EI516" s="208"/>
    </row>
    <row r="517" spans="18:139">
      <c r="R517" s="357"/>
      <c r="V517" s="208"/>
      <c r="EE517" s="357"/>
      <c r="EI517" s="208"/>
    </row>
    <row r="518" spans="18:139">
      <c r="R518" s="357"/>
      <c r="V518" s="208"/>
      <c r="EE518" s="357"/>
      <c r="EI518" s="208"/>
    </row>
    <row r="519" spans="18:139">
      <c r="R519" s="357"/>
      <c r="V519" s="208"/>
      <c r="EE519" s="357"/>
      <c r="EI519" s="208"/>
    </row>
    <row r="520" spans="18:139">
      <c r="R520" s="357"/>
      <c r="V520" s="208"/>
      <c r="EE520" s="357"/>
      <c r="EI520" s="208"/>
    </row>
    <row r="521" spans="18:139">
      <c r="R521" s="357"/>
      <c r="V521" s="208"/>
      <c r="EE521" s="357"/>
      <c r="EI521" s="208"/>
    </row>
    <row r="522" spans="18:139">
      <c r="R522" s="357"/>
      <c r="V522" s="208"/>
      <c r="EE522" s="357"/>
      <c r="EI522" s="208"/>
    </row>
    <row r="523" spans="18:139">
      <c r="R523" s="357"/>
      <c r="V523" s="208"/>
      <c r="EE523" s="357"/>
      <c r="EI523" s="208"/>
    </row>
    <row r="524" spans="18:139">
      <c r="R524" s="357"/>
      <c r="V524" s="208"/>
      <c r="EE524" s="357"/>
      <c r="EI524" s="208"/>
    </row>
    <row r="525" spans="18:139">
      <c r="R525" s="357"/>
      <c r="V525" s="208"/>
      <c r="EE525" s="357"/>
      <c r="EI525" s="208"/>
    </row>
    <row r="526" spans="18:139">
      <c r="R526" s="357"/>
      <c r="V526" s="208"/>
      <c r="EE526" s="357"/>
      <c r="EI526" s="208"/>
    </row>
    <row r="527" spans="18:139">
      <c r="R527" s="357"/>
      <c r="V527" s="208"/>
      <c r="EE527" s="357"/>
      <c r="EI527" s="208"/>
    </row>
    <row r="528" spans="18:139">
      <c r="R528" s="357"/>
      <c r="V528" s="208"/>
      <c r="EE528" s="357"/>
      <c r="EI528" s="208"/>
    </row>
    <row r="529" spans="18:139">
      <c r="R529" s="357"/>
      <c r="V529" s="208"/>
      <c r="EE529" s="357"/>
      <c r="EI529" s="208"/>
    </row>
    <row r="530" spans="18:139">
      <c r="R530" s="357"/>
      <c r="V530" s="208"/>
      <c r="EE530" s="357"/>
      <c r="EI530" s="208"/>
    </row>
    <row r="531" spans="18:139">
      <c r="R531" s="357"/>
      <c r="V531" s="208"/>
      <c r="EE531" s="357"/>
      <c r="EI531" s="208"/>
    </row>
    <row r="532" spans="18:139">
      <c r="R532" s="357"/>
      <c r="V532" s="208"/>
      <c r="EE532" s="357"/>
      <c r="EI532" s="208"/>
    </row>
    <row r="533" spans="18:139">
      <c r="R533" s="357"/>
      <c r="V533" s="208"/>
      <c r="EE533" s="357"/>
      <c r="EI533" s="208"/>
    </row>
    <row r="534" spans="18:139">
      <c r="R534" s="357"/>
      <c r="V534" s="208"/>
      <c r="EE534" s="357"/>
      <c r="EI534" s="208"/>
    </row>
    <row r="535" spans="18:139">
      <c r="R535" s="357"/>
      <c r="V535" s="208"/>
      <c r="EE535" s="357"/>
      <c r="EI535" s="208"/>
    </row>
    <row r="536" spans="18:139">
      <c r="R536" s="357"/>
      <c r="V536" s="208"/>
      <c r="EE536" s="357"/>
      <c r="EI536" s="208"/>
    </row>
    <row r="537" spans="18:139">
      <c r="R537" s="357"/>
      <c r="V537" s="208"/>
      <c r="EE537" s="357"/>
      <c r="EI537" s="208"/>
    </row>
    <row r="538" spans="18:139">
      <c r="R538" s="357"/>
      <c r="V538" s="208"/>
      <c r="EE538" s="357"/>
      <c r="EI538" s="208"/>
    </row>
    <row r="539" spans="18:139">
      <c r="R539" s="357"/>
      <c r="V539" s="208"/>
      <c r="EE539" s="357"/>
      <c r="EI539" s="208"/>
    </row>
  </sheetData>
  <sheetProtection algorithmName="SHA-512" hashValue="CkGtgL2lTyKC/CknDVPQ+folG2jRfVYfaNx1GRCMxSOsXVGaprrWnA46X/MmeRGCf0T4pLVcU54w5gfgXVQIXg==" saltValue="oKBvDG8wQ2Q/h82nLiCJZQ==" spinCount="100000" sheet="1" objects="1" scenarios="1"/>
  <phoneticPr fontId="3"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dimension ref="B1:BM197"/>
  <sheetViews>
    <sheetView workbookViewId="0"/>
  </sheetViews>
  <sheetFormatPr baseColWidth="10" defaultColWidth="9.3984375" defaultRowHeight="15"/>
  <cols>
    <col min="1" max="1" width="2.3984375" style="59" customWidth="1"/>
    <col min="2" max="2" width="35.59765625" style="62" customWidth="1"/>
    <col min="3" max="3" width="23.796875" style="62" customWidth="1"/>
    <col min="4" max="4" width="18.3984375" style="59" customWidth="1"/>
    <col min="5" max="5" width="12.59765625" style="59" customWidth="1"/>
    <col min="6" max="6" width="13.59765625" style="59" customWidth="1"/>
    <col min="7" max="7" width="14" style="59" customWidth="1"/>
    <col min="8" max="8" width="20.796875" style="59" customWidth="1"/>
    <col min="9" max="9" width="16.3984375" style="59" customWidth="1"/>
    <col min="10" max="11" width="16.796875" style="59" customWidth="1"/>
    <col min="12" max="13" width="19.19921875" style="59" customWidth="1"/>
    <col min="14" max="42" width="12" style="59" customWidth="1"/>
    <col min="43" max="43" width="18.59765625" style="59" customWidth="1"/>
    <col min="44" max="63" width="12" style="59" customWidth="1"/>
    <col min="64" max="78" width="9.3984375" style="59" customWidth="1"/>
    <col min="79" max="16384" width="9.3984375" style="59"/>
  </cols>
  <sheetData>
    <row r="1" spans="2:63">
      <c r="P1" s="59" t="s">
        <v>18</v>
      </c>
      <c r="AE1" s="63"/>
      <c r="AU1" s="326"/>
      <c r="AV1" s="326"/>
      <c r="AW1" s="326"/>
      <c r="AX1" s="326"/>
      <c r="AY1" s="326"/>
      <c r="AZ1" s="326"/>
      <c r="BA1" s="326"/>
      <c r="BB1" s="326"/>
      <c r="BC1" s="326"/>
      <c r="BD1" s="326"/>
      <c r="BE1" s="326"/>
      <c r="BF1" s="326"/>
      <c r="BG1" s="326"/>
      <c r="BH1" s="326"/>
      <c r="BI1" s="326"/>
      <c r="BJ1" s="326"/>
      <c r="BK1" s="326"/>
    </row>
    <row r="2" spans="2:63" ht="16">
      <c r="B2" s="54" t="s">
        <v>19</v>
      </c>
      <c r="C2" s="54" t="s">
        <v>20</v>
      </c>
      <c r="D2" s="54" t="s">
        <v>21</v>
      </c>
      <c r="E2" s="54" t="s">
        <v>22</v>
      </c>
      <c r="H2" s="54" t="s">
        <v>23</v>
      </c>
      <c r="I2" s="54">
        <v>1</v>
      </c>
      <c r="J2" s="64">
        <v>1</v>
      </c>
      <c r="K2" s="64">
        <v>1</v>
      </c>
      <c r="P2" s="1">
        <v>0</v>
      </c>
      <c r="Q2" t="s">
        <v>14</v>
      </c>
      <c r="R2" s="1"/>
      <c r="S2" s="1"/>
      <c r="T2" s="1"/>
      <c r="U2" s="1"/>
      <c r="V2" s="1"/>
      <c r="W2" s="1"/>
      <c r="X2" s="1"/>
      <c r="Y2" s="1"/>
      <c r="Z2" s="1"/>
      <c r="AA2" s="1"/>
      <c r="AB2" s="1"/>
      <c r="AC2" s="1"/>
      <c r="AD2" s="18" t="str">
        <f>IF(AE2="","",MAX($AD$1:AD1)+1)</f>
        <v/>
      </c>
      <c r="AE2" s="104"/>
      <c r="AF2" s="1"/>
      <c r="AG2" s="1"/>
      <c r="AL2" s="158" t="str">
        <f>$C$69</f>
        <v>業務、服展、北富銀</v>
      </c>
      <c r="AU2" s="327"/>
      <c r="AV2" s="327"/>
      <c r="AW2" s="328"/>
      <c r="AX2" s="328"/>
      <c r="AY2" s="328"/>
      <c r="AZ2" s="328"/>
      <c r="BA2" s="329"/>
      <c r="BB2" s="328"/>
      <c r="BC2" s="328"/>
      <c r="BD2" s="328"/>
      <c r="BE2" s="328"/>
      <c r="BF2" s="328"/>
      <c r="BG2" s="328"/>
      <c r="BH2" s="328"/>
      <c r="BI2" s="328"/>
      <c r="BJ2" s="328"/>
      <c r="BK2" s="328"/>
    </row>
    <row r="3" spans="2:63" ht="16">
      <c r="B3" s="54">
        <f>IF(C4=0,0,VALUE(MID(C4,IF(LEN(C4)=7,4,3),2)))</f>
        <v>5</v>
      </c>
      <c r="C3" s="55">
        <f ca="1">IF(TODAY()&lt;DATE(2026,4,9),DATE(2026,4,9),TODAY())</f>
        <v>46239</v>
      </c>
      <c r="D3" s="55">
        <f>IF(C4=0,0,DATE(LEFT(C4,IF(LEN(C4)=7,3,2))+1911,MID(C4,IF(LEN(C4)=7,4,3),2),RIGHT(C4,2)))</f>
        <v>31927</v>
      </c>
      <c r="E3" s="56">
        <f>N(DAY(DATE(LEFT(C4,IF(LEN(C4)=7,3,2))+1911,MID(C4,IF(LEN(C4)=7,4,3),2)+1,0)))</f>
        <v>31</v>
      </c>
      <c r="H3" s="54" t="s">
        <v>25</v>
      </c>
      <c r="I3" s="54">
        <v>1</v>
      </c>
      <c r="J3" s="64">
        <v>1</v>
      </c>
      <c r="K3" s="64">
        <v>1</v>
      </c>
      <c r="P3" s="18">
        <f>IF(Q3="","",MAX($P$2:P2)+1)</f>
        <v>1</v>
      </c>
      <c r="Q3" s="27" t="str">
        <f>IF(AND(C46=0,C47=0),"","‧上表年度實繳保費已扣除保費折扣，繳費期內如不符保費折扣條件，上表將不適用。")</f>
        <v>‧上表年度實繳保費已扣除保費折扣，繳費期內如不符保費折扣條件，上表將不適用。</v>
      </c>
      <c r="R3" s="1"/>
      <c r="S3" s="1"/>
      <c r="T3" s="1"/>
      <c r="U3" s="1"/>
      <c r="V3" s="1"/>
      <c r="W3" s="1"/>
      <c r="X3" s="1"/>
      <c r="Y3" s="1"/>
      <c r="Z3" s="1"/>
      <c r="AA3" s="1"/>
      <c r="AB3" s="1"/>
      <c r="AC3" s="1"/>
      <c r="AD3" s="18" t="str">
        <f>IF(AE3="","",MAX($AD$1:AD2)+1)</f>
        <v/>
      </c>
      <c r="AE3" s="104"/>
      <c r="AF3" s="1"/>
      <c r="AG3" s="1"/>
      <c r="AL3" s="159" t="s">
        <v>267</v>
      </c>
      <c r="AM3" s="159" t="s">
        <v>268</v>
      </c>
      <c r="AN3" s="159" t="s">
        <v>111</v>
      </c>
      <c r="AO3" s="159" t="s">
        <v>269</v>
      </c>
      <c r="AP3" s="159" t="s">
        <v>270</v>
      </c>
      <c r="AQ3" s="159"/>
      <c r="AR3" s="159"/>
      <c r="AU3" s="330"/>
      <c r="AV3" s="330"/>
      <c r="AW3" s="331"/>
      <c r="AX3" s="331"/>
      <c r="AY3" s="331"/>
      <c r="AZ3" s="332"/>
      <c r="BA3" s="333"/>
      <c r="BB3" s="331"/>
      <c r="BC3" s="331"/>
      <c r="BD3" s="331"/>
      <c r="BE3" s="331"/>
      <c r="BF3" s="331"/>
      <c r="BG3" s="331"/>
      <c r="BH3" s="331"/>
      <c r="BI3" s="331"/>
      <c r="BJ3" s="331"/>
      <c r="BK3" s="331"/>
    </row>
    <row r="4" spans="2:63" ht="16">
      <c r="B4" s="54" t="s">
        <v>21</v>
      </c>
      <c r="C4" s="56">
        <f>IF(C9=1,C10,IF(C9=2,VALUE(C11&amp;TEXT(C12,"00")&amp;TEXT(C13,"00")),""))</f>
        <v>760530</v>
      </c>
      <c r="D4" s="57">
        <f ca="1">DATE(YEAR(C3)-$C$15,MONTH(C3)-6,DAY(C3))</f>
        <v>27795</v>
      </c>
      <c r="E4" s="96" t="str">
        <f>IF(OR(B3&lt;1,B3&gt;12),1,"")</f>
        <v/>
      </c>
      <c r="F4" s="121">
        <f ca="1">YEAR($D$4)-1911</f>
        <v>65</v>
      </c>
      <c r="H4" s="54" t="s">
        <v>26</v>
      </c>
      <c r="I4" s="54">
        <v>1</v>
      </c>
      <c r="J4" s="64">
        <v>1</v>
      </c>
      <c r="K4" s="64">
        <v>1</v>
      </c>
      <c r="P4" s="18">
        <f>IF(Q4="","",MAX($P$2:P3)+1)</f>
        <v>2</v>
      </c>
      <c r="Q4" s="27" t="s">
        <v>232</v>
      </c>
      <c r="R4" s="1"/>
      <c r="S4" s="1"/>
      <c r="T4" s="1"/>
      <c r="U4" s="1"/>
      <c r="V4" s="1"/>
      <c r="W4" s="1"/>
      <c r="X4" s="1"/>
      <c r="Y4" s="1"/>
      <c r="Z4" s="1"/>
      <c r="AA4" s="1"/>
      <c r="AB4" s="1"/>
      <c r="AC4" s="1"/>
      <c r="AD4" s="18" t="str">
        <f>IF(AE4="","",MAX($AD$1:AD3)+1)</f>
        <v/>
      </c>
      <c r="AE4" s="104"/>
      <c r="AF4" s="1"/>
      <c r="AG4" s="1"/>
      <c r="AK4" s="160">
        <f>IF(OR($AL4="",COUNTIF($AL$3:$AR$3,$AL$2)=0),"",MAX($AK$3:AK3)+1)</f>
        <v>1</v>
      </c>
      <c r="AL4" s="160" t="s">
        <v>242</v>
      </c>
      <c r="AU4" s="330"/>
      <c r="AV4" s="330"/>
      <c r="AW4" s="331"/>
      <c r="AX4" s="331"/>
      <c r="AY4" s="331"/>
      <c r="AZ4" s="332"/>
      <c r="BA4" s="333"/>
      <c r="BB4" s="331"/>
      <c r="BC4" s="331"/>
      <c r="BD4" s="331"/>
      <c r="BE4" s="331"/>
      <c r="BF4" s="331"/>
      <c r="BG4" s="331"/>
      <c r="BH4" s="331"/>
      <c r="BI4" s="331"/>
      <c r="BJ4" s="331"/>
      <c r="BK4" s="331"/>
    </row>
    <row r="5" spans="2:63" ht="16">
      <c r="B5" s="54" t="s">
        <v>27</v>
      </c>
      <c r="C5" s="58" t="s">
        <v>28</v>
      </c>
      <c r="D5" s="58">
        <f ca="1">IF(SUM(E6,D10:D13)&gt;=1,"生日格式錯誤",IF(D3&gt;C3,"被保險人未出生",IF(MONTH(C3)&lt;B3,IF(OR(MONTH(C3)+12-B3&gt;6,AND(MONTH(C3)+12-B3=6,DAY(C3)&gt;DAY(D3))),YEAR(C3)-1-YEAR(D3)+1,IF(OR(MONTH(C3)+12-B3&lt;6,AND(MONTH(C3)+12-B3=6,DAY(C3)&lt;=DAY(D3))),YEAR(C3)-1-YEAR(D3))),IF(OR(MONTH(C3)-B3&gt;6,AND(MONTH(C3)-B3=6,DAY(C3)&gt;DAY(D3))),YEAR(C3)-YEAR(D3)+1,IF(OR(MONTH(C3)-B3&lt;=6,AND(MONTH(C3)-B3=6,DAY(C3)&lt;=DAY(D3))),YEAR(C3)-YEAR(D3),)))))</f>
        <v>39</v>
      </c>
      <c r="E5" s="96" t="str">
        <f>IF(OR(VALUE(RIGHT(C4,2))&lt;1,VALUE(RIGHT(C4,2))&gt;E3),1,"")</f>
        <v/>
      </c>
      <c r="F5" s="121">
        <f ca="1">MONTH($D$4)</f>
        <v>2</v>
      </c>
      <c r="H5" s="54" t="s">
        <v>29</v>
      </c>
      <c r="I5" s="54">
        <v>0.52</v>
      </c>
      <c r="J5" s="64">
        <v>0.5</v>
      </c>
      <c r="K5" s="64">
        <v>2</v>
      </c>
      <c r="P5" s="18">
        <f>IF(Q5="","",MAX($P$2:P4)+1)</f>
        <v>3</v>
      </c>
      <c r="Q5" s="112" t="s">
        <v>233</v>
      </c>
      <c r="R5" s="1"/>
      <c r="S5" s="1"/>
      <c r="T5" s="1"/>
      <c r="U5" s="1"/>
      <c r="V5" s="1"/>
      <c r="W5" s="1"/>
      <c r="X5" s="1"/>
      <c r="Y5" s="1"/>
      <c r="Z5" s="1"/>
      <c r="AA5" s="1"/>
      <c r="AB5" s="1"/>
      <c r="AC5" s="1"/>
      <c r="AD5" s="18" t="str">
        <f>IF(AE5="","",MAX($AD$1:AD4)+1)</f>
        <v/>
      </c>
      <c r="AE5" s="104"/>
      <c r="AF5" s="1"/>
      <c r="AG5" s="1"/>
      <c r="AK5" s="160">
        <f>IF(OR($AL5="",COUNTIF($AL$3:$AR$3,$AL$2)=0),"",MAX($AK$3:AK4)+1)</f>
        <v>2</v>
      </c>
      <c r="AL5" s="160" t="s">
        <v>243</v>
      </c>
      <c r="AU5" s="330"/>
      <c r="AV5" s="330"/>
      <c r="AW5" s="331"/>
      <c r="AX5" s="331"/>
      <c r="AY5" s="331"/>
      <c r="AZ5" s="332"/>
      <c r="BA5" s="333"/>
      <c r="BB5" s="331"/>
      <c r="BC5" s="331"/>
      <c r="BD5" s="331"/>
      <c r="BE5" s="331"/>
      <c r="BF5" s="331"/>
      <c r="BG5" s="331"/>
      <c r="BH5" s="331"/>
      <c r="BI5" s="331"/>
      <c r="BJ5" s="331"/>
      <c r="BK5" s="331"/>
    </row>
    <row r="6" spans="2:63" ht="16">
      <c r="B6" s="54"/>
      <c r="C6" s="58" t="s">
        <v>30</v>
      </c>
      <c r="D6" s="58">
        <f ca="1">IF(SUM(E6,D10:D13)&gt;=1,"生日格式錯誤",IF(D3&gt;C3,"被保險人未出生",DATEDIF(D3,C3,"y")))</f>
        <v>39</v>
      </c>
      <c r="E6" s="120" t="str">
        <f>IF(OR(E4=1,E5=1),1,"")</f>
        <v/>
      </c>
      <c r="F6" s="121">
        <f ca="1">DAY($D$4)</f>
        <v>5</v>
      </c>
      <c r="H6" s="54" t="s">
        <v>31</v>
      </c>
      <c r="I6" s="54">
        <v>0.26200000000000001</v>
      </c>
      <c r="J6" s="64">
        <v>0.25</v>
      </c>
      <c r="K6" s="64">
        <v>4</v>
      </c>
      <c r="P6" s="18">
        <f>IF(Q6="","",MAX($P$2:P5)+1)</f>
        <v>4</v>
      </c>
      <c r="Q6" s="27" t="s">
        <v>234</v>
      </c>
      <c r="R6" s="1"/>
      <c r="S6" s="1"/>
      <c r="T6" s="1"/>
      <c r="U6" s="1"/>
      <c r="V6" s="1"/>
      <c r="W6" s="1"/>
      <c r="X6" s="1"/>
      <c r="Y6" s="1"/>
      <c r="Z6" s="1"/>
      <c r="AA6" s="1"/>
      <c r="AB6" s="1"/>
      <c r="AC6" s="1"/>
      <c r="AD6" s="18" t="str">
        <f>IF(AE6="","",MAX($AD$1:AD5)+1)</f>
        <v/>
      </c>
      <c r="AE6" s="104"/>
      <c r="AG6" s="1"/>
      <c r="AK6" s="160">
        <f>IF(OR($AL6="",COUNTIF($AL$3:$AR$3,$AL$2)=0),"",MAX($AK$3:AK5)+1)</f>
        <v>3</v>
      </c>
      <c r="AL6" s="160" t="s">
        <v>244</v>
      </c>
      <c r="AU6" s="330"/>
      <c r="AV6" s="330"/>
      <c r="AW6" s="331"/>
      <c r="AX6" s="331"/>
      <c r="AY6" s="331"/>
      <c r="AZ6" s="332"/>
      <c r="BA6" s="333"/>
      <c r="BB6" s="331"/>
      <c r="BC6" s="331"/>
      <c r="BD6" s="331"/>
      <c r="BE6" s="331"/>
      <c r="BF6" s="331"/>
      <c r="BG6" s="331"/>
      <c r="BH6" s="331"/>
      <c r="BI6" s="331"/>
      <c r="BJ6" s="331"/>
      <c r="BK6" s="331"/>
    </row>
    <row r="7" spans="2:63" ht="16">
      <c r="F7" s="121" t="str">
        <f ca="1">F4&amp;TEXT(F5,"00")&amp;TEXT(F6,"00")</f>
        <v>650205</v>
      </c>
      <c r="H7" s="54" t="s">
        <v>32</v>
      </c>
      <c r="I7" s="54">
        <v>8.7999999999999995E-2</v>
      </c>
      <c r="J7" s="64">
        <v>8.3333329999999997E-2</v>
      </c>
      <c r="K7" s="64">
        <v>12</v>
      </c>
      <c r="P7" s="18">
        <f>IF(Q7="","",MAX($P$2:P6)+1)</f>
        <v>5</v>
      </c>
      <c r="Q7" s="27" t="s">
        <v>96</v>
      </c>
      <c r="R7" s="1"/>
      <c r="S7" s="1"/>
      <c r="T7" s="1"/>
      <c r="U7" s="1"/>
      <c r="V7" s="1"/>
      <c r="W7" s="1"/>
      <c r="X7" s="1"/>
      <c r="Y7" s="1"/>
      <c r="Z7" s="1"/>
      <c r="AA7" s="1"/>
      <c r="AB7" s="1"/>
      <c r="AC7" s="1"/>
      <c r="AD7" s="18" t="str">
        <f>IF(AE7="","",MAX($AD$1:AD6)+1)</f>
        <v/>
      </c>
      <c r="AE7" s="104"/>
      <c r="AF7" s="1"/>
      <c r="AG7" s="1"/>
      <c r="AK7" s="160">
        <f>IF(OR($AL7="",COUNTIF($AL$3:$AR$3,$AL$2)=0),"",MAX($AK$3:AK6)+1)</f>
        <v>4</v>
      </c>
      <c r="AL7" s="160" t="s">
        <v>245</v>
      </c>
      <c r="AU7" s="330"/>
      <c r="AV7" s="330"/>
      <c r="AW7" s="331"/>
      <c r="AX7" s="331"/>
      <c r="AY7" s="331"/>
      <c r="AZ7" s="332"/>
      <c r="BA7" s="333"/>
      <c r="BB7" s="331"/>
      <c r="BC7" s="331"/>
      <c r="BD7" s="331"/>
      <c r="BE7" s="331"/>
      <c r="BF7" s="331"/>
      <c r="BG7" s="331"/>
      <c r="BH7" s="331"/>
      <c r="BI7" s="331"/>
      <c r="BJ7" s="331"/>
      <c r="BK7" s="331"/>
    </row>
    <row r="8" spans="2:63" ht="16">
      <c r="K8" s="59" t="s">
        <v>238</v>
      </c>
      <c r="L8" s="59" t="s">
        <v>239</v>
      </c>
      <c r="M8" s="59">
        <f>COUNTA(L11:L12)</f>
        <v>2</v>
      </c>
      <c r="N8" s="1"/>
      <c r="P8" s="18">
        <f>IF(Q8="","",MAX($P$2:P7)+1)</f>
        <v>6</v>
      </c>
      <c r="Q8" s="27" t="s">
        <v>303</v>
      </c>
      <c r="R8" s="1"/>
      <c r="S8" s="1"/>
      <c r="T8" s="1"/>
      <c r="U8" s="1"/>
      <c r="V8" s="1"/>
      <c r="W8" s="1"/>
      <c r="X8" s="1"/>
      <c r="Y8" s="1"/>
      <c r="Z8" s="1"/>
      <c r="AA8" s="1"/>
      <c r="AB8" s="1"/>
      <c r="AC8" s="1"/>
      <c r="AD8" s="18" t="str">
        <f>IF(AE8="","",MAX($AD$1:AD7)+1)</f>
        <v/>
      </c>
      <c r="AE8" s="104"/>
      <c r="AF8" s="1"/>
      <c r="AG8" s="1"/>
      <c r="AK8" s="160">
        <f>IF(OR($AL8="",COUNTIF($AL$3:$AR$3,$AL$2)=0),"",MAX($AK$3:AK7)+1)</f>
        <v>5</v>
      </c>
      <c r="AL8" s="160" t="s">
        <v>246</v>
      </c>
      <c r="AU8" s="330"/>
      <c r="AV8" s="330"/>
      <c r="AW8" s="331"/>
      <c r="AX8" s="331"/>
      <c r="AY8" s="331"/>
      <c r="AZ8" s="332"/>
      <c r="BA8" s="333"/>
      <c r="BB8" s="331"/>
      <c r="BC8" s="331"/>
      <c r="BD8" s="331"/>
      <c r="BE8" s="331"/>
      <c r="BF8" s="331"/>
      <c r="BG8" s="331"/>
      <c r="BH8" s="331"/>
      <c r="BI8" s="331"/>
      <c r="BJ8" s="331"/>
      <c r="BK8" s="331"/>
    </row>
    <row r="9" spans="2:63" ht="16">
      <c r="B9" s="62" t="s">
        <v>33</v>
      </c>
      <c r="C9" s="65">
        <v>1</v>
      </c>
      <c r="D9" s="62" t="s">
        <v>34</v>
      </c>
      <c r="H9" s="64" t="s">
        <v>780</v>
      </c>
      <c r="I9" s="64" t="s">
        <v>781</v>
      </c>
      <c r="J9" s="64" t="s">
        <v>782</v>
      </c>
      <c r="K9" s="64" t="str">
        <f>K10&amp;M10&amp;K11&amp;M11&amp;K12&amp;M12&amp;K13&amp;M13&amp;D47</f>
        <v>繳費方式 1.0%折扣</v>
      </c>
      <c r="L9" s="64" t="str">
        <f>"保費折扣"</f>
        <v>保費折扣</v>
      </c>
      <c r="M9" s="59" t="str">
        <f>L10&amp;M10&amp;L11&amp;M11&amp;L12&amp;M12&amp;L13&amp;"折扣"</f>
        <v>繳費方式折扣</v>
      </c>
      <c r="P9" s="18">
        <f>IF(Q9="","",MAX($P$2:P8)+1)</f>
        <v>7</v>
      </c>
      <c r="Q9" s="112" t="s">
        <v>107</v>
      </c>
      <c r="R9" s="1"/>
      <c r="S9" s="1"/>
      <c r="T9" s="1"/>
      <c r="U9" s="1"/>
      <c r="V9" s="1"/>
      <c r="W9" s="1"/>
      <c r="X9" s="1"/>
      <c r="Y9" s="1"/>
      <c r="Z9" s="1"/>
      <c r="AA9" s="1"/>
      <c r="AB9" s="1"/>
      <c r="AC9" s="1"/>
      <c r="AD9" s="18" t="str">
        <f>IF(AE9="","",MAX($AD$1:AD8)+1)</f>
        <v/>
      </c>
      <c r="AE9" s="104"/>
      <c r="AF9" s="1"/>
      <c r="AG9" s="1"/>
      <c r="AK9" s="160">
        <f>IF(OR($AL9="",COUNTIF($AL$3:$AR$3,$AL$2)=0),"",MAX($AK$3:AK8)+1)</f>
        <v>6</v>
      </c>
      <c r="AL9" s="160" t="s">
        <v>247</v>
      </c>
      <c r="AU9" s="330"/>
      <c r="AV9" s="330"/>
      <c r="AW9" s="331"/>
      <c r="AX9" s="331"/>
      <c r="AY9" s="331"/>
      <c r="AZ9" s="332"/>
      <c r="BA9" s="333"/>
      <c r="BB9" s="331"/>
      <c r="BC9" s="331"/>
      <c r="BD9" s="331"/>
      <c r="BE9" s="331"/>
      <c r="BF9" s="331"/>
      <c r="BG9" s="331"/>
      <c r="BH9" s="331"/>
      <c r="BI9" s="331"/>
      <c r="BJ9" s="331"/>
      <c r="BK9" s="331"/>
    </row>
    <row r="10" spans="2:63" ht="16">
      <c r="B10" s="62" t="s">
        <v>35</v>
      </c>
      <c r="C10" s="58">
        <f>BD</f>
        <v>760530</v>
      </c>
      <c r="D10" s="66" t="str">
        <f>IF(AND($C$9=1,OR(C10="",C10=0)),1,"")</f>
        <v/>
      </c>
      <c r="G10" s="59">
        <v>1</v>
      </c>
      <c r="H10" s="144" t="s">
        <v>522</v>
      </c>
      <c r="I10" s="145">
        <f>$C$42</f>
        <v>0.01</v>
      </c>
      <c r="J10" s="145">
        <f>$C$44</f>
        <v>0.01</v>
      </c>
      <c r="K10" s="64" t="str">
        <f>IF(AND(I10&gt;0,J10&gt;0),""&amp;H10&amp;TEXT(I10," 0.0%")&amp;"折扣",IF(AND(I10&gt;0,J10=0),"首期"&amp;H10&amp;TEXT(I10," 0.0%")&amp;"折扣",IF(AND(I10=0,J10&gt;0),"續期"&amp;H10&amp;TEXT(J10," 0.0%")&amp;"折扣","")))</f>
        <v>繳費方式 1.0%折扣</v>
      </c>
      <c r="L10" s="64" t="str">
        <f>IF(SUM(I10:J10)&gt;0,H10,"")</f>
        <v>繳費方式</v>
      </c>
      <c r="M10" s="64" t="str">
        <f>IF(L10="","",IF(SUM(N11:N13)&gt;=2,"、",IF(SUM(N11:N13)=1,"及","")))</f>
        <v/>
      </c>
      <c r="N10" s="59">
        <f>IF(L10&lt;&gt;"",1,0)</f>
        <v>1</v>
      </c>
      <c r="P10" s="18" t="str">
        <f>IF(Q10="","",MAX($P$2:P9)+1)</f>
        <v/>
      </c>
      <c r="Q10"/>
      <c r="R10" s="1"/>
      <c r="S10" s="1"/>
      <c r="T10" s="1"/>
      <c r="U10" s="1"/>
      <c r="V10" s="1"/>
      <c r="W10" s="1"/>
      <c r="X10" s="1"/>
      <c r="Y10" s="1"/>
      <c r="Z10" s="1"/>
      <c r="AA10" s="1"/>
      <c r="AB10" s="1"/>
      <c r="AC10" s="1"/>
      <c r="AD10" s="18" t="str">
        <f>IF(AE10="","",MAX($AD$1:AD9)+1)</f>
        <v/>
      </c>
      <c r="AE10" s="104"/>
      <c r="AF10" s="1"/>
      <c r="AG10" s="1"/>
      <c r="AK10" s="160">
        <f>IF(OR($AL10="",COUNTIF($AL$3:$AR$3,$AL$2)=0),"",MAX($AK$3:AK9)+1)</f>
        <v>7</v>
      </c>
      <c r="AL10" s="160" t="s">
        <v>248</v>
      </c>
      <c r="AU10" s="330"/>
      <c r="AV10" s="330"/>
      <c r="AW10" s="331"/>
      <c r="AX10" s="331"/>
      <c r="AY10" s="331"/>
      <c r="AZ10" s="332"/>
      <c r="BA10" s="333"/>
      <c r="BB10" s="331"/>
      <c r="BC10" s="331"/>
      <c r="BD10" s="331"/>
      <c r="BE10" s="331"/>
      <c r="BF10" s="331"/>
      <c r="BG10" s="331"/>
      <c r="BH10" s="331"/>
      <c r="BI10" s="331"/>
      <c r="BJ10" s="331"/>
      <c r="BK10" s="331"/>
    </row>
    <row r="11" spans="2:63" ht="16">
      <c r="B11" s="62" t="s">
        <v>36</v>
      </c>
      <c r="C11" s="58"/>
      <c r="D11" s="66" t="str">
        <f>IF(AND($C$9=2,OR(C11="",C11=0)),1,"")</f>
        <v/>
      </c>
      <c r="G11" s="59">
        <v>2</v>
      </c>
      <c r="H11" s="64" t="s">
        <v>783</v>
      </c>
      <c r="I11" s="145">
        <f>$C$37</f>
        <v>0</v>
      </c>
      <c r="J11" s="145">
        <f>$C$37</f>
        <v>0</v>
      </c>
      <c r="K11" s="64" t="str">
        <f>IF(AND(I11&gt;0,J11&gt;0),""&amp;H11&amp;TEXT(I11," 0.0%")&amp;"折扣",IF(AND(I11&gt;0,J11=0),"首期"&amp;H11&amp;TEXT(I11," 0.0%")&amp;"折扣",IF(AND(I11=0,J11&gt;0),"續期"&amp;H11&amp;TEXT(J11," 0.0%")&amp;"折扣","")))</f>
        <v/>
      </c>
      <c r="L11" s="64" t="str">
        <f>IF(SUM(I11:J11)&gt;0,H11,"")</f>
        <v/>
      </c>
      <c r="M11" s="64" t="str">
        <f>IF(L11="","",IF(SUM(N12:N14)&gt;=2,"、",IF(SUM(N12:N14)=1,"及","")))</f>
        <v/>
      </c>
      <c r="N11" s="59">
        <f>IF(L11&lt;&gt;"",1,0)</f>
        <v>0</v>
      </c>
      <c r="P11" s="18" t="str">
        <f>IF(Q11="","",MAX($P$2:P10)+1)</f>
        <v/>
      </c>
      <c r="Q11"/>
      <c r="R11" s="1"/>
      <c r="S11" s="1"/>
      <c r="T11" s="1"/>
      <c r="U11" s="1"/>
      <c r="V11" s="1"/>
      <c r="W11" s="1"/>
      <c r="X11" s="1"/>
      <c r="Y11" s="1"/>
      <c r="Z11" s="1"/>
      <c r="AA11" s="1"/>
      <c r="AB11" s="1"/>
      <c r="AC11" s="1"/>
      <c r="AD11" s="18" t="str">
        <f>IF(AE11="","",MAX($AD$1:AD10)+1)</f>
        <v/>
      </c>
      <c r="AE11" s="104"/>
      <c r="AF11" s="1"/>
      <c r="AG11" s="1"/>
      <c r="AK11" s="160">
        <f>IF(OR($AL11="",COUNTIF($AL$3:$AR$3,$AL$2)=0),"",MAX($AK$3:AK10)+1)</f>
        <v>8</v>
      </c>
      <c r="AL11" s="160" t="s">
        <v>249</v>
      </c>
      <c r="AU11" s="330"/>
      <c r="AV11" s="330"/>
      <c r="AW11" s="331"/>
      <c r="AX11" s="331"/>
      <c r="AY11" s="331"/>
      <c r="AZ11" s="332"/>
      <c r="BA11" s="333"/>
      <c r="BB11" s="331"/>
      <c r="BC11" s="331"/>
      <c r="BD11" s="331"/>
      <c r="BE11" s="331"/>
      <c r="BF11" s="331"/>
      <c r="BG11" s="331"/>
      <c r="BH11" s="331"/>
      <c r="BI11" s="331"/>
      <c r="BJ11" s="331"/>
      <c r="BK11" s="331"/>
    </row>
    <row r="12" spans="2:63" ht="16">
      <c r="C12" s="58"/>
      <c r="D12" s="66" t="str">
        <f>IF(AND($C$9=2,OR(C12="",C12&lt;1,C12&gt;12)),1,"")</f>
        <v/>
      </c>
      <c r="G12" s="59">
        <v>3</v>
      </c>
      <c r="H12" s="64" t="s">
        <v>784</v>
      </c>
      <c r="I12" s="145">
        <f>$C$38</f>
        <v>0</v>
      </c>
      <c r="J12" s="145">
        <f>$C$39</f>
        <v>0</v>
      </c>
      <c r="K12" s="64" t="str">
        <f>IF(AND(I12&gt;0,J12&gt;0),""&amp;H12&amp;TEXT(I12," 0.0%")&amp;"折扣",IF(AND(I12&gt;0,J12=0),"首期"&amp;H12&amp;TEXT(I12," 0.0%")&amp;"折扣",IF(AND(I12=0,J12&gt;0),"續期"&amp;H12&amp;TEXT(J12," 0.0%")&amp;"折扣","")))</f>
        <v/>
      </c>
      <c r="L12" s="64" t="str">
        <f>IF(SUM(I12:J12)&gt;0,H12,"")</f>
        <v/>
      </c>
      <c r="M12" s="64" t="str">
        <f>IF(L12="","",IF(SUM(N13:N15)&gt;=2,"、",IF(SUM(N13:N15)=1,"及","")))</f>
        <v/>
      </c>
      <c r="N12" s="59">
        <f>IF(L12&lt;&gt;"",1,0)</f>
        <v>0</v>
      </c>
      <c r="P12" s="18" t="str">
        <f>IF(Q12="","",MAX($P$2:P11)+1)</f>
        <v/>
      </c>
      <c r="Q12"/>
      <c r="R12" s="1"/>
      <c r="S12" s="1"/>
      <c r="T12" s="1"/>
      <c r="U12" s="1"/>
      <c r="V12" s="2"/>
      <c r="W12" s="1"/>
      <c r="X12" s="1"/>
      <c r="Y12" s="1"/>
      <c r="Z12" s="1"/>
      <c r="AA12" s="1"/>
      <c r="AB12" s="1"/>
      <c r="AC12" s="1"/>
      <c r="AD12" s="18" t="str">
        <f>IF(AE12="","",MAX($AD$1:AD11)+1)</f>
        <v/>
      </c>
      <c r="AE12" s="104"/>
      <c r="AG12" s="1"/>
      <c r="AK12" s="160">
        <f>IF(OR($AL12="",COUNTIF($AL$3:$AR$3,$AL$2)=0),"",MAX($AK$3:AK11)+1)</f>
        <v>9</v>
      </c>
      <c r="AL12" s="160" t="s">
        <v>250</v>
      </c>
      <c r="AU12" s="330"/>
      <c r="AV12" s="330"/>
      <c r="AW12" s="331"/>
      <c r="AX12" s="331"/>
      <c r="AY12" s="331"/>
      <c r="AZ12" s="332"/>
      <c r="BA12" s="333"/>
      <c r="BB12" s="331"/>
      <c r="BC12" s="331"/>
      <c r="BD12" s="331"/>
      <c r="BE12" s="331"/>
      <c r="BF12" s="331"/>
      <c r="BG12" s="331"/>
      <c r="BH12" s="331"/>
      <c r="BI12" s="331"/>
      <c r="BJ12" s="331"/>
      <c r="BK12" s="331"/>
    </row>
    <row r="13" spans="2:63" ht="16">
      <c r="C13" s="69"/>
      <c r="D13" s="70" t="str">
        <f>IF(AND($C$9=2,OR(C13="",C13&lt;1,C13&gt;E3)),1,"")</f>
        <v/>
      </c>
      <c r="G13" s="59">
        <v>4</v>
      </c>
      <c r="H13" s="64" t="s">
        <v>774</v>
      </c>
      <c r="I13" s="145">
        <f>$C$40</f>
        <v>0</v>
      </c>
      <c r="J13" s="145">
        <f>$C$40</f>
        <v>0</v>
      </c>
      <c r="K13" s="64" t="str">
        <f>IF(AND(I13&gt;0,J13&gt;0),""&amp;H13&amp;TEXT(I13," 0.0%")&amp;"折扣",IF(AND(I13&gt;0,J13=0),"首期"&amp;H13&amp;TEXT(I13," 0.0%")&amp;"折扣",IF(AND(I13=0,J13&gt;0),"續期"&amp;H13&amp;TEXT(J13," 0.0%")&amp;"折扣",IF(E38=1,"繳費方式不符合員工折扣保費規定",""))))</f>
        <v/>
      </c>
      <c r="L13" s="64" t="str">
        <f>IF(SUM(I13:J13)&gt;0,H13,"")</f>
        <v/>
      </c>
      <c r="M13" s="64" t="str">
        <f>IF(L13="","",IF(SUM(N14:N16)&gt;=2,"、",IF(SUM(N14:N16)=1,"及","")))</f>
        <v/>
      </c>
      <c r="N13" s="59">
        <f>IF(L13&lt;&gt;"",1,0)</f>
        <v>0</v>
      </c>
      <c r="P13" s="18" t="str">
        <f>IF(Q13="","",MAX($P$2:P12)+1)</f>
        <v/>
      </c>
      <c r="Q13"/>
      <c r="R13" s="1"/>
      <c r="S13" s="1"/>
      <c r="T13" s="1"/>
      <c r="U13" s="1"/>
      <c r="V13" s="2"/>
      <c r="W13" s="1"/>
      <c r="X13" s="1"/>
      <c r="Y13" s="1"/>
      <c r="Z13" s="1"/>
      <c r="AA13" s="1"/>
      <c r="AB13" s="1"/>
      <c r="AC13" s="1"/>
      <c r="AD13" s="18" t="str">
        <f>IF(AE13="","",MAX($AD$1:AD12)+1)</f>
        <v/>
      </c>
      <c r="AE13" s="104"/>
      <c r="AG13" s="1"/>
      <c r="AK13" s="160">
        <f>IF(OR($AL13="",COUNTIF($AL$3:$AR$3,$AL$2)=0),"",MAX($AK$3:AK12)+1)</f>
        <v>10</v>
      </c>
      <c r="AL13" s="160" t="s">
        <v>251</v>
      </c>
      <c r="AU13" s="330"/>
      <c r="AV13" s="330"/>
      <c r="AW13" s="331"/>
      <c r="AX13" s="331"/>
      <c r="AY13" s="331"/>
      <c r="AZ13" s="332"/>
      <c r="BA13" s="333"/>
      <c r="BB13" s="331"/>
      <c r="BC13" s="331"/>
      <c r="BD13" s="331"/>
      <c r="BE13" s="331"/>
      <c r="BF13" s="331"/>
      <c r="BG13" s="331"/>
      <c r="BH13" s="331"/>
      <c r="BI13" s="331"/>
      <c r="BJ13" s="331"/>
      <c r="BK13" s="331"/>
    </row>
    <row r="14" spans="2:63" ht="16">
      <c r="B14" s="71" t="s">
        <v>37</v>
      </c>
      <c r="C14" s="71"/>
      <c r="D14" s="72" t="str">
        <f>IF(SUM(E6,D10:D13)&gt;=1,"*日期空白或格式錯誤*","")</f>
        <v/>
      </c>
      <c r="H14" s="54"/>
      <c r="I14" s="67"/>
      <c r="J14" s="68"/>
      <c r="P14" s="18" t="str">
        <f>IF(Q14="","",MAX($P$2:P13)+1)</f>
        <v/>
      </c>
      <c r="Q14"/>
      <c r="R14" s="1"/>
      <c r="S14" s="1"/>
      <c r="T14" s="1"/>
      <c r="U14" s="1"/>
      <c r="V14" s="1"/>
      <c r="W14" s="1"/>
      <c r="X14" s="1"/>
      <c r="Y14" s="1"/>
      <c r="Z14" s="1"/>
      <c r="AA14" s="1"/>
      <c r="AB14" s="1"/>
      <c r="AC14" s="1"/>
      <c r="AD14" s="18" t="str">
        <f>IF(AE14="","",MAX($AD$1:AD13)+1)</f>
        <v/>
      </c>
      <c r="AE14" s="104"/>
      <c r="AF14" s="50"/>
      <c r="AG14" s="1"/>
      <c r="AK14" s="160">
        <f>IF(OR($AL14="",COUNTIF($AL$3:$AR$3,$AL$2)=0),"",MAX($AK$3:AK13)+1)</f>
        <v>11</v>
      </c>
      <c r="AL14" s="160" t="s">
        <v>252</v>
      </c>
      <c r="AU14" s="330"/>
      <c r="AV14" s="330"/>
      <c r="AW14" s="331"/>
      <c r="AX14" s="331"/>
      <c r="AY14" s="331"/>
      <c r="AZ14" s="332"/>
      <c r="BA14" s="333"/>
      <c r="BB14" s="331"/>
      <c r="BC14" s="331"/>
      <c r="BD14" s="331"/>
      <c r="BE14" s="331"/>
      <c r="BF14" s="331"/>
      <c r="BG14" s="331"/>
      <c r="BH14" s="331"/>
      <c r="BI14" s="331"/>
      <c r="BJ14" s="331"/>
      <c r="BK14" s="331"/>
    </row>
    <row r="15" spans="2:63" ht="16">
      <c r="B15" s="73" t="s">
        <v>38</v>
      </c>
      <c r="C15" s="65">
        <f>IF($C$22="",,VLOOKUP($C$24,$H$51:$J$54,3,FALSE))</f>
        <v>50</v>
      </c>
      <c r="D15" s="66" t="str">
        <f ca="1">IF(D5&gt;C15,1,"")</f>
        <v/>
      </c>
      <c r="H15" s="54"/>
      <c r="I15" s="67"/>
      <c r="J15" s="68"/>
      <c r="P15" s="18" t="str">
        <f>IF(Q15="","",MAX($P$2:P14)+1)</f>
        <v/>
      </c>
      <c r="Q15"/>
      <c r="R15" s="1"/>
      <c r="S15" s="1"/>
      <c r="T15" s="1"/>
      <c r="U15" s="1"/>
      <c r="V15" s="1"/>
      <c r="W15" s="1"/>
      <c r="X15" s="1"/>
      <c r="Y15" s="1"/>
      <c r="Z15" s="1"/>
      <c r="AA15" s="1"/>
      <c r="AB15" s="1"/>
      <c r="AC15" s="1"/>
      <c r="AD15" s="18" t="str">
        <f>IF(AE15="","",MAX($AD$1:AD14)+1)</f>
        <v/>
      </c>
      <c r="AE15" s="104"/>
      <c r="AF15"/>
      <c r="AG15" s="1"/>
      <c r="AK15" s="160">
        <f>IF(OR($AL15="",COUNTIF($AL$3:$AR$3,$AL$2)=0),"",MAX($AK$3:AK14)+1)</f>
        <v>12</v>
      </c>
      <c r="AL15" s="160" t="s">
        <v>298</v>
      </c>
      <c r="AU15" s="330"/>
      <c r="AV15" s="330"/>
      <c r="AW15" s="334"/>
      <c r="AX15" s="334"/>
      <c r="AY15" s="334"/>
      <c r="AZ15" s="335"/>
      <c r="BA15" s="333"/>
      <c r="BB15" s="334"/>
      <c r="BC15" s="334"/>
      <c r="BD15" s="334"/>
      <c r="BE15" s="334"/>
      <c r="BF15" s="334"/>
      <c r="BG15" s="334"/>
      <c r="BH15" s="334"/>
      <c r="BI15" s="334"/>
      <c r="BJ15" s="334"/>
      <c r="BK15" s="334"/>
    </row>
    <row r="16" spans="2:63" ht="16">
      <c r="B16" s="74" t="str">
        <f>"最低承保"&amp;IF(E16=1,"(足歲)","(保險年齡)")</f>
        <v>最低承保(足歲)</v>
      </c>
      <c r="C16" s="65">
        <f>IF($C$22="",,VLOOKUP($C$24,H51:J54,2,FALSE))</f>
        <v>18</v>
      </c>
      <c r="D16" s="66" t="str">
        <f ca="1">IF(IF(E16=1,D6,IF(E16=2,D5,0))&lt;C16,1,"")</f>
        <v/>
      </c>
      <c r="E16" s="65">
        <v>1</v>
      </c>
      <c r="P16" s="18" t="str">
        <f>IF(Q16="","",MAX($P$2:P15)+1)</f>
        <v/>
      </c>
      <c r="Q16"/>
      <c r="R16" s="1"/>
      <c r="S16" s="1"/>
      <c r="T16" s="1"/>
      <c r="U16" s="1"/>
      <c r="V16" s="1"/>
      <c r="W16" s="1"/>
      <c r="X16" s="1"/>
      <c r="Y16" s="1"/>
      <c r="Z16" s="1"/>
      <c r="AA16" s="1"/>
      <c r="AB16" s="1"/>
      <c r="AC16" s="1"/>
      <c r="AD16" s="18" t="str">
        <f>IF(AE16="","",MAX($AD$1:AD15)+1)</f>
        <v/>
      </c>
      <c r="AE16" s="113"/>
      <c r="AF16" s="50"/>
      <c r="AG16" s="1"/>
      <c r="AK16" s="160">
        <f>IF(OR($AL16="",COUNTIF($AL$3:$AR$3,$AL$2)=0),"",MAX($AK$3:AK15)+1)</f>
        <v>13</v>
      </c>
      <c r="AL16" s="160" t="s">
        <v>299</v>
      </c>
      <c r="AU16" s="330"/>
      <c r="AV16" s="330"/>
      <c r="AW16" s="334"/>
      <c r="AX16" s="334"/>
      <c r="AY16" s="334"/>
      <c r="AZ16" s="335"/>
      <c r="BA16" s="333"/>
      <c r="BB16" s="334"/>
      <c r="BC16" s="334"/>
      <c r="BD16" s="334"/>
      <c r="BE16" s="334"/>
      <c r="BF16" s="334"/>
      <c r="BG16" s="334"/>
      <c r="BH16" s="334"/>
      <c r="BI16" s="334"/>
      <c r="BJ16" s="334"/>
      <c r="BK16" s="334"/>
    </row>
    <row r="17" spans="2:65" ht="16">
      <c r="B17" s="71" t="s">
        <v>39</v>
      </c>
      <c r="C17" s="71"/>
      <c r="D17" s="72" t="str">
        <f ca="1">IF(SUM(D15:D16)&gt;=1,"*年齡不符合投保區間*","")</f>
        <v/>
      </c>
      <c r="H17" s="58" t="str">
        <f>IF($C$24=1,"躉繳","躉繳")</f>
        <v>躉繳</v>
      </c>
      <c r="I17" s="54"/>
      <c r="J17" s="54"/>
      <c r="P17" s="18" t="str">
        <f>IF(Q17="","",MAX($P$2:P16)+1)</f>
        <v/>
      </c>
      <c r="Q17"/>
      <c r="R17" s="1"/>
      <c r="S17" s="1"/>
      <c r="T17" s="1"/>
      <c r="U17" s="1"/>
      <c r="V17" s="1"/>
      <c r="W17" s="1"/>
      <c r="X17" s="1"/>
      <c r="Y17" s="1"/>
      <c r="Z17" s="1"/>
      <c r="AA17" s="1"/>
      <c r="AB17" s="1"/>
      <c r="AC17" s="1"/>
      <c r="AD17" s="18" t="str">
        <f>IF(AE17="","",MAX($AD$1:AD16)+1)</f>
        <v/>
      </c>
      <c r="AE17" s="104"/>
      <c r="AF17" s="50"/>
      <c r="AG17" s="1"/>
      <c r="AK17" s="160">
        <f>IF(OR($AL17="",COUNTIF($AL$3:$AR$3,$AL$2)=0),"",MAX($AK$3:AK16)+1)</f>
        <v>14</v>
      </c>
      <c r="AL17" s="160" t="s">
        <v>253</v>
      </c>
      <c r="AU17" s="330"/>
      <c r="AV17" s="330"/>
      <c r="AW17" s="334"/>
      <c r="AX17" s="334"/>
      <c r="AY17" s="334"/>
      <c r="AZ17" s="335"/>
      <c r="BA17" s="333"/>
      <c r="BB17" s="334"/>
      <c r="BC17" s="334"/>
      <c r="BD17" s="334"/>
      <c r="BE17" s="334"/>
      <c r="BF17" s="334"/>
      <c r="BG17" s="334"/>
      <c r="BH17" s="334"/>
      <c r="BI17" s="334"/>
      <c r="BJ17" s="334"/>
      <c r="BK17" s="334"/>
    </row>
    <row r="18" spans="2:65" ht="16">
      <c r="B18" s="62" t="s">
        <v>40</v>
      </c>
      <c r="C18" s="75">
        <f>IF(輸入頁!$K$5="男",1,IF(輸入頁!$K$5="女",2,0))</f>
        <v>2</v>
      </c>
      <c r="D18" s="76" t="str">
        <f>IF(OR(C18="",C18&lt;=0,C18&gt;=3),1,"")</f>
        <v/>
      </c>
      <c r="H18" s="58" t="str">
        <f>IF($C$24=1,"年繳","年繳")</f>
        <v>年繳</v>
      </c>
      <c r="I18" s="54"/>
      <c r="J18" s="54"/>
      <c r="P18" s="18" t="str">
        <f>IF(Q18="","",MAX($P$2:P17)+1)</f>
        <v/>
      </c>
      <c r="Q18" s="77"/>
      <c r="V18" s="1"/>
      <c r="W18" s="1"/>
      <c r="X18" s="1"/>
      <c r="Y18" s="1"/>
      <c r="Z18" s="1"/>
      <c r="AA18" s="1"/>
      <c r="AB18" s="1"/>
      <c r="AC18" s="1"/>
      <c r="AD18" s="18" t="str">
        <f>IF(AE18="","",MAX($AD$1:AD17)+1)</f>
        <v/>
      </c>
      <c r="AE18" s="104"/>
      <c r="AF18" s="1"/>
      <c r="AG18" s="1"/>
      <c r="AK18" s="160">
        <f>IF(OR($AL18="",COUNTIF($AL$3:$AR$3,$AL$2)=0),"",MAX($AK$3:AK17)+1)</f>
        <v>15</v>
      </c>
      <c r="AL18" s="160" t="s">
        <v>760</v>
      </c>
      <c r="AU18" s="330"/>
      <c r="AV18" s="330"/>
      <c r="AW18" s="334"/>
      <c r="AX18" s="334"/>
      <c r="AY18" s="334"/>
      <c r="AZ18" s="335"/>
      <c r="BA18" s="333"/>
      <c r="BB18" s="334"/>
      <c r="BC18" s="334"/>
      <c r="BD18" s="334"/>
      <c r="BE18" s="334"/>
      <c r="BF18" s="334"/>
      <c r="BG18" s="334"/>
      <c r="BH18" s="334"/>
      <c r="BI18" s="334"/>
      <c r="BJ18" s="334"/>
      <c r="BK18" s="334"/>
    </row>
    <row r="19" spans="2:65" ht="16">
      <c r="B19" s="78" t="s">
        <v>41</v>
      </c>
      <c r="C19" s="78"/>
      <c r="D19" s="79" t="str">
        <f>IF(D18=1,"*性別輸入錯誤*","")</f>
        <v/>
      </c>
      <c r="H19" s="58" t="str">
        <f>IF($C$24=1,"半年繳","半年繳")</f>
        <v>半年繳</v>
      </c>
      <c r="I19" s="54"/>
      <c r="J19" s="68"/>
      <c r="P19" s="18" t="str">
        <f>IF(Q19="","",MAX($P$2:P18)+1)</f>
        <v/>
      </c>
      <c r="Q19" s="26"/>
      <c r="V19" s="1"/>
      <c r="W19" s="1"/>
      <c r="X19" s="1"/>
      <c r="Y19" s="1"/>
      <c r="Z19" s="1"/>
      <c r="AA19" s="1"/>
      <c r="AB19" s="1"/>
      <c r="AC19" s="1"/>
      <c r="AD19" s="18" t="str">
        <f>IF(AE19="","",MAX($AD$1:AD18)+1)</f>
        <v/>
      </c>
      <c r="AE19" s="104"/>
      <c r="AF19" s="1"/>
      <c r="AG19" s="1"/>
      <c r="AK19" s="160">
        <f>IF(OR($AL19="",COUNTIF($AL$3:$AR$3,$AL$2)=0),"",MAX($AK$3:AK18)+1)</f>
        <v>16</v>
      </c>
      <c r="AL19" s="160" t="s">
        <v>761</v>
      </c>
      <c r="AU19" s="330"/>
      <c r="AV19" s="330"/>
      <c r="AW19" s="334"/>
      <c r="AX19" s="334"/>
      <c r="AY19" s="334"/>
      <c r="AZ19" s="335"/>
      <c r="BA19" s="333"/>
      <c r="BB19" s="334"/>
      <c r="BC19" s="334"/>
      <c r="BD19" s="334"/>
      <c r="BE19" s="334"/>
      <c r="BF19" s="334"/>
      <c r="BG19" s="334"/>
      <c r="BH19" s="334"/>
      <c r="BI19" s="334"/>
      <c r="BJ19" s="334"/>
      <c r="BK19" s="334"/>
    </row>
    <row r="20" spans="2:65" ht="16">
      <c r="B20" s="78" t="s">
        <v>42</v>
      </c>
      <c r="C20" s="78"/>
      <c r="D20" s="66" t="str">
        <f>IF(SUM(E6,D10:D13,D18)&gt;=1,1,"")</f>
        <v/>
      </c>
      <c r="H20" s="58" t="str">
        <f>IF($C$24=1,"季繳","季繳")</f>
        <v>季繳</v>
      </c>
      <c r="I20" s="54"/>
      <c r="J20" s="68"/>
      <c r="P20" s="18" t="str">
        <f>IF(Q20="","",MAX($P$2:P19)+1)</f>
        <v/>
      </c>
      <c r="Q20" s="27"/>
      <c r="V20" s="1"/>
      <c r="W20" s="1"/>
      <c r="X20" s="1"/>
      <c r="Y20" s="1"/>
      <c r="Z20" s="1"/>
      <c r="AA20" s="1"/>
      <c r="AB20" s="1"/>
      <c r="AC20" s="1"/>
      <c r="AD20" s="18" t="str">
        <f>IF(AE20="","",MAX($AD$1:AD19)+1)</f>
        <v/>
      </c>
      <c r="AE20" s="104"/>
      <c r="AF20" s="1"/>
      <c r="AG20" s="1"/>
      <c r="AK20" s="160">
        <f>IF(OR($AL20="",COUNTIF($AL$3:$AR$3,$AL$2)=0),"",MAX($AK$3:AK19)+1)</f>
        <v>17</v>
      </c>
      <c r="AL20" s="160" t="s">
        <v>762</v>
      </c>
      <c r="AU20" s="330"/>
      <c r="AV20" s="330"/>
      <c r="AW20" s="334"/>
      <c r="AX20" s="334"/>
      <c r="AY20" s="334"/>
      <c r="AZ20" s="335"/>
      <c r="BA20" s="333"/>
      <c r="BB20" s="334"/>
      <c r="BC20" s="334"/>
      <c r="BD20" s="334"/>
      <c r="BE20" s="334"/>
      <c r="BF20" s="334"/>
      <c r="BG20" s="334"/>
      <c r="BH20" s="334"/>
      <c r="BI20" s="334"/>
      <c r="BJ20" s="334"/>
      <c r="BK20" s="334"/>
    </row>
    <row r="21" spans="2:65" ht="16">
      <c r="B21" s="62" t="s">
        <v>43</v>
      </c>
      <c r="C21" s="65">
        <v>1</v>
      </c>
      <c r="D21" s="66" t="str">
        <f>IF(OR(C21="",C21&lt;=0,C21&gt;=3),1,"")</f>
        <v/>
      </c>
      <c r="E21" s="272" t="s">
        <v>491</v>
      </c>
      <c r="H21" s="58" t="str">
        <f>IF($C$24=1,"月繳","月繳")</f>
        <v>月繳</v>
      </c>
      <c r="I21" s="54"/>
      <c r="J21" s="68"/>
      <c r="P21" s="18" t="str">
        <f>IF(Q21="","",MAX($P$2:P20)+1)</f>
        <v/>
      </c>
      <c r="Q21" s="28"/>
      <c r="V21" s="1"/>
      <c r="W21" s="1"/>
      <c r="X21" s="1"/>
      <c r="Y21" s="1"/>
      <c r="Z21" s="1"/>
      <c r="AA21" s="1"/>
      <c r="AB21" s="1"/>
      <c r="AC21" s="1"/>
      <c r="AD21" s="18" t="str">
        <f>IF(AE21="","",MAX($AD$1:AD20)+1)</f>
        <v/>
      </c>
      <c r="AE21" s="104"/>
      <c r="AF21" s="1"/>
      <c r="AG21" s="1"/>
      <c r="AK21" s="160">
        <f>IF(OR($AL21="",COUNTIF($AL$3:$AR$3,$AL$2)=0),"",MAX($AK$3:AK20)+1)</f>
        <v>18</v>
      </c>
      <c r="AL21" s="160" t="s">
        <v>763</v>
      </c>
      <c r="AU21" s="330"/>
      <c r="AV21" s="330"/>
      <c r="AW21" s="334"/>
      <c r="AX21" s="334"/>
      <c r="AY21" s="334"/>
      <c r="AZ21" s="335"/>
      <c r="BA21" s="333"/>
      <c r="BB21" s="334"/>
      <c r="BC21" s="334"/>
      <c r="BD21" s="334"/>
      <c r="BE21" s="334"/>
      <c r="BF21" s="334"/>
      <c r="BG21" s="334"/>
      <c r="BH21" s="334"/>
      <c r="BI21" s="334"/>
      <c r="BJ21" s="334"/>
      <c r="BK21" s="334"/>
    </row>
    <row r="22" spans="2:65" ht="16">
      <c r="B22" s="62" t="s">
        <v>44</v>
      </c>
      <c r="C22" s="65" t="str">
        <f>IF(YPN&lt;&gt;I55,"",YPN)</f>
        <v>CLX</v>
      </c>
      <c r="D22" s="66" t="str">
        <f>IF(OR(C22="",C22=0,AND(C22&lt;&gt;K39,C22&lt;&gt;K40)),1,"")</f>
        <v/>
      </c>
      <c r="H22" s="54"/>
      <c r="I22" s="54"/>
      <c r="J22" s="68"/>
      <c r="P22" s="18" t="str">
        <f>IF(Q22="","",MAX($P$2:P21)+1)</f>
        <v/>
      </c>
      <c r="Q22" s="27"/>
      <c r="V22" s="1"/>
      <c r="W22" s="1"/>
      <c r="X22" s="1"/>
      <c r="Y22" s="1"/>
      <c r="Z22" s="1"/>
      <c r="AA22" s="1"/>
      <c r="AB22" s="1"/>
      <c r="AC22" s="1"/>
      <c r="AD22" s="18" t="str">
        <f>IF(AE22="","",MAX($AD$1:AD21)+1)</f>
        <v/>
      </c>
      <c r="AE22" s="104"/>
      <c r="AF22" s="1"/>
      <c r="AG22" s="1"/>
      <c r="AK22" s="160" t="str">
        <f>IF(OR($AL22="",COUNTIF($AL$3:$AR$3,$AL$2)=0),"",MAX($AK$3:AK21)+1)</f>
        <v/>
      </c>
      <c r="AL22" s="160"/>
      <c r="AU22" s="330"/>
      <c r="AV22" s="330"/>
      <c r="AW22" s="334"/>
      <c r="AX22" s="334"/>
      <c r="AY22" s="334"/>
      <c r="AZ22" s="335"/>
      <c r="BA22" s="333"/>
      <c r="BB22" s="334"/>
      <c r="BC22" s="334"/>
      <c r="BD22" s="334"/>
      <c r="BE22" s="334"/>
      <c r="BF22" s="334"/>
      <c r="BG22" s="334"/>
      <c r="BH22" s="334"/>
      <c r="BI22" s="334"/>
      <c r="BJ22" s="334"/>
      <c r="BK22" s="334"/>
    </row>
    <row r="23" spans="2:65" ht="16">
      <c r="B23" s="62" t="s">
        <v>45</v>
      </c>
      <c r="C23" s="65" t="s">
        <v>775</v>
      </c>
      <c r="D23" s="66"/>
      <c r="E23" s="59" t="s">
        <v>202</v>
      </c>
      <c r="H23" s="54"/>
      <c r="I23" s="54"/>
      <c r="J23" s="68"/>
      <c r="P23" s="1"/>
      <c r="Q23" s="27"/>
      <c r="R23" s="1"/>
      <c r="S23" s="1"/>
      <c r="T23" s="1"/>
      <c r="U23" s="1"/>
      <c r="V23" s="1"/>
      <c r="W23" s="1"/>
      <c r="X23" s="1"/>
      <c r="Y23" s="1"/>
      <c r="Z23" s="1"/>
      <c r="AA23" s="1"/>
      <c r="AB23" s="1"/>
      <c r="AC23" s="1"/>
      <c r="AD23" s="18" t="str">
        <f>IF(AE23="","",MAX($AD$1:AD22)+1)</f>
        <v/>
      </c>
      <c r="AE23" s="104"/>
      <c r="AF23" s="1"/>
      <c r="AG23" s="1"/>
      <c r="AK23" s="160">
        <f>IF(OR($AL23="",COUNTIF($AL$3:$AR$3,$AL$2)=0),"",MAX($AK$3:AK22)+1)</f>
        <v>19</v>
      </c>
      <c r="AL23" s="160" t="s">
        <v>254</v>
      </c>
      <c r="AU23" s="330"/>
      <c r="AV23" s="330"/>
      <c r="AW23" s="334"/>
      <c r="AX23" s="334"/>
      <c r="AY23" s="334"/>
      <c r="AZ23" s="335"/>
      <c r="BA23" s="333"/>
      <c r="BB23" s="334"/>
      <c r="BC23" s="334"/>
      <c r="BD23" s="334"/>
      <c r="BE23" s="334"/>
      <c r="BF23" s="334"/>
      <c r="BG23" s="334"/>
      <c r="BH23" s="334"/>
      <c r="BI23" s="334"/>
      <c r="BJ23" s="334"/>
      <c r="BK23" s="334"/>
    </row>
    <row r="24" spans="2:65" ht="16">
      <c r="B24" s="62" t="s">
        <v>46</v>
      </c>
      <c r="C24" s="58">
        <f>IF($C$22="",,輸入頁!$D$22)</f>
        <v>20</v>
      </c>
      <c r="D24" s="66" t="str">
        <f>IF(OR(C24="",C24=0,COUNTIF(H39:J41,C24)=0),1,"")</f>
        <v/>
      </c>
      <c r="E24" s="58" t="str">
        <f>IF($C$22="",,IF(OP!C24=1,"(躉繳)",IF(OP!$C$24&gt;40,"繳費至"&amp;OP!$C$24&amp;"歲滿期","繳費"&amp;OP!$C$24&amp;"年")))</f>
        <v>繳費20年</v>
      </c>
      <c r="P24" s="1"/>
      <c r="Q24" s="80"/>
      <c r="R24" s="1"/>
      <c r="S24" s="1"/>
      <c r="T24" s="1"/>
      <c r="U24" s="1"/>
      <c r="V24" s="1"/>
      <c r="W24" s="1"/>
      <c r="X24" s="1"/>
      <c r="Y24" s="1"/>
      <c r="Z24" s="1"/>
      <c r="AA24" s="1"/>
      <c r="AB24" s="1"/>
      <c r="AC24" s="1"/>
      <c r="AD24" s="18" t="str">
        <f>IF(AE24="","",MAX($AD$1:AD23)+1)</f>
        <v/>
      </c>
      <c r="AE24" s="104"/>
      <c r="AF24" s="1"/>
      <c r="AG24" s="1"/>
      <c r="AK24" s="160">
        <f>IF(OR($AL24="",COUNTIF($AL$3:$AR$3,$AL$2)=0),"",MAX($AK$3:AK23)+1)</f>
        <v>20</v>
      </c>
      <c r="AL24" s="160" t="s">
        <v>255</v>
      </c>
      <c r="AU24" s="330"/>
      <c r="AV24" s="330"/>
      <c r="AW24" s="334"/>
      <c r="AX24" s="334"/>
      <c r="AY24" s="334"/>
      <c r="AZ24" s="335"/>
      <c r="BA24" s="333"/>
      <c r="BB24" s="334"/>
      <c r="BC24" s="334"/>
      <c r="BD24" s="334"/>
      <c r="BE24" s="334"/>
      <c r="BF24" s="334"/>
      <c r="BG24" s="334"/>
      <c r="BH24" s="334"/>
      <c r="BI24" s="334"/>
      <c r="BJ24" s="334"/>
      <c r="BK24" s="334"/>
    </row>
    <row r="25" spans="2:65" ht="16">
      <c r="B25" s="78" t="s">
        <v>47</v>
      </c>
      <c r="C25" s="81"/>
      <c r="D25" s="72" t="str">
        <f>IF(SUM(D24)&gt;=1,"*年期選擇錯誤*","")</f>
        <v/>
      </c>
      <c r="E25" s="59">
        <f>COUNTIF(H39:J41,C24)</f>
        <v>1</v>
      </c>
      <c r="H25" s="54" t="s">
        <v>785</v>
      </c>
      <c r="I25" s="165" t="str">
        <f>輸入頁!$E$19</f>
        <v>無</v>
      </c>
      <c r="J25" s="54"/>
      <c r="P25" s="1"/>
      <c r="Q25" s="80"/>
      <c r="R25" s="1"/>
      <c r="S25" s="1"/>
      <c r="T25" s="1"/>
      <c r="U25" s="1"/>
      <c r="V25" s="1"/>
      <c r="W25" s="1"/>
      <c r="X25" s="1"/>
      <c r="Y25" s="1"/>
      <c r="Z25" s="1"/>
      <c r="AA25" s="1"/>
      <c r="AB25" s="1"/>
      <c r="AC25" s="1"/>
      <c r="AD25" s="18" t="str">
        <f>IF(AE25="","",MAX($AD$1:AD24)+1)</f>
        <v/>
      </c>
      <c r="AE25" s="104"/>
      <c r="AF25" s="1"/>
      <c r="AG25" s="1"/>
      <c r="AK25" s="160">
        <f>IF(OR($AL25="",COUNTIF($AL$3:$AR$3,$AL$2)=0),"",MAX($AK$3:AK24)+1)</f>
        <v>21</v>
      </c>
      <c r="AL25" s="160" t="s">
        <v>256</v>
      </c>
      <c r="AU25" s="330"/>
      <c r="AV25" s="330"/>
      <c r="AW25" s="334"/>
      <c r="AX25" s="334"/>
      <c r="AY25" s="334"/>
      <c r="AZ25" s="335"/>
      <c r="BA25" s="333"/>
      <c r="BB25" s="334"/>
      <c r="BC25" s="334"/>
      <c r="BD25" s="334"/>
      <c r="BE25" s="334"/>
      <c r="BF25" s="334"/>
      <c r="BG25" s="334"/>
      <c r="BH25" s="334"/>
      <c r="BI25" s="334"/>
      <c r="BJ25" s="334"/>
      <c r="BK25" s="334"/>
    </row>
    <row r="26" spans="2:65" ht="16">
      <c r="B26" s="62" t="s">
        <v>48</v>
      </c>
      <c r="C26" s="65">
        <f>IF($C$22="",,VLOOKUP($C$24,$H$57:$L$60,$H$55+1,FALSE))</f>
        <v>50</v>
      </c>
      <c r="D26" s="82"/>
      <c r="H26" s="54" t="s">
        <v>271</v>
      </c>
      <c r="I26" s="54">
        <v>0</v>
      </c>
      <c r="J26" s="54"/>
      <c r="P26" s="1"/>
      <c r="Q26" s="80"/>
      <c r="R26" s="1"/>
      <c r="S26" s="1"/>
      <c r="T26" s="1"/>
      <c r="U26" s="1"/>
      <c r="V26" s="1"/>
      <c r="W26" s="1"/>
      <c r="X26" s="1"/>
      <c r="Y26" s="1"/>
      <c r="Z26" s="1"/>
      <c r="AA26" s="1"/>
      <c r="AB26" s="1"/>
      <c r="AC26" s="1"/>
      <c r="AD26" s="18" t="str">
        <f>IF(AE26="","",MAX($AD$1:AD25)+1)</f>
        <v/>
      </c>
      <c r="AE26" s="104"/>
      <c r="AF26" s="1"/>
      <c r="AG26" s="1"/>
      <c r="AK26" s="160">
        <f>IF(OR($AL26="",COUNTIF($AL$3:$AR$3,$AL$2)=0),"",MAX($AK$3:AK25)+1)</f>
        <v>22</v>
      </c>
      <c r="AL26" s="160" t="s">
        <v>257</v>
      </c>
      <c r="AU26" s="330"/>
      <c r="AV26" s="330"/>
      <c r="AW26" s="334"/>
      <c r="AX26" s="334"/>
      <c r="AY26" s="334"/>
      <c r="AZ26" s="335"/>
      <c r="BA26" s="333"/>
      <c r="BB26" s="334"/>
      <c r="BC26" s="334"/>
      <c r="BD26" s="334"/>
      <c r="BE26" s="334"/>
      <c r="BF26" s="334"/>
      <c r="BG26" s="334"/>
      <c r="BH26" s="334"/>
      <c r="BI26" s="334"/>
      <c r="BJ26" s="334"/>
      <c r="BK26" s="334"/>
    </row>
    <row r="27" spans="2:65" ht="16">
      <c r="B27" s="62" t="s">
        <v>49</v>
      </c>
      <c r="C27" s="65">
        <f ca="1">IF($C$22="",,VLOOKUP($C$24,$H$57:$L$60,$H$55+2,FALSE))</f>
        <v>300</v>
      </c>
      <c r="D27" s="83"/>
      <c r="E27" s="59" t="s">
        <v>490</v>
      </c>
      <c r="H27" s="54" t="s">
        <v>273</v>
      </c>
      <c r="I27" s="54">
        <v>1</v>
      </c>
      <c r="P27" s="1"/>
      <c r="Q27" s="80"/>
      <c r="R27" s="1"/>
      <c r="S27" s="1"/>
      <c r="T27" s="1"/>
      <c r="U27" s="1"/>
      <c r="V27" s="1"/>
      <c r="W27" s="1"/>
      <c r="X27" s="1"/>
      <c r="Y27" s="1"/>
      <c r="Z27" s="1"/>
      <c r="AA27" s="1"/>
      <c r="AB27" s="1"/>
      <c r="AC27" s="1"/>
      <c r="AD27" s="18" t="str">
        <f>IF(AE27="","",MAX($AD$1:AD26)+1)</f>
        <v/>
      </c>
      <c r="AE27" s="104"/>
      <c r="AF27" s="1"/>
      <c r="AG27" s="1"/>
      <c r="AK27" s="160">
        <f>IF(OR($AL27="",COUNTIF($AL$3:$AR$3,$AL$2)=0),"",MAX($AK$3:AK26)+1)</f>
        <v>23</v>
      </c>
      <c r="AL27" s="160" t="s">
        <v>258</v>
      </c>
      <c r="AU27" s="326"/>
      <c r="AV27" s="326"/>
    </row>
    <row r="28" spans="2:65" ht="16">
      <c r="B28" s="62" t="s">
        <v>50</v>
      </c>
      <c r="C28" s="210">
        <f>ROUND(輸入頁!J24,1)</f>
        <v>100</v>
      </c>
      <c r="D28" s="66" t="str">
        <f ca="1">IF(OR(C28="",C28=0,C28&lt;C26,C28&gt;C27),1,"")</f>
        <v/>
      </c>
      <c r="E28" s="159">
        <v>0</v>
      </c>
      <c r="H28" s="54" t="s">
        <v>272</v>
      </c>
      <c r="I28" s="54">
        <v>2</v>
      </c>
      <c r="J28" s="68"/>
      <c r="P28" s="1"/>
      <c r="Q28" s="80"/>
      <c r="R28" s="1"/>
      <c r="S28" s="1"/>
      <c r="T28" s="1"/>
      <c r="U28" s="1"/>
      <c r="V28" s="1"/>
      <c r="W28" s="1"/>
      <c r="X28" s="1"/>
      <c r="Y28" s="1"/>
      <c r="Z28" s="1"/>
      <c r="AA28" s="1"/>
      <c r="AB28" s="1"/>
      <c r="AC28" s="1"/>
      <c r="AD28" s="18" t="str">
        <f>IF(AE28="","",MAX($AD$1:AD27)+1)</f>
        <v/>
      </c>
      <c r="AE28" s="104"/>
      <c r="AG28" s="1"/>
      <c r="AK28" s="160">
        <f>IF(OR($AL28="",COUNTIF($AL$3:$AR$3,$AL$2)=0),"",MAX($AK$3:AK27)+1)</f>
        <v>24</v>
      </c>
      <c r="AL28" s="160" t="s">
        <v>259</v>
      </c>
      <c r="AU28" s="326"/>
      <c r="AV28" s="326"/>
    </row>
    <row r="29" spans="2:65" ht="16">
      <c r="B29" s="78" t="s">
        <v>51</v>
      </c>
      <c r="C29" s="78"/>
      <c r="D29" s="72" t="str">
        <f ca="1">IF(SUM(D28)&gt;=1,"*保額錯誤*","")</f>
        <v/>
      </c>
      <c r="P29" s="1"/>
      <c r="Q29" s="80"/>
      <c r="R29" s="1"/>
      <c r="S29" s="1"/>
      <c r="T29" s="1"/>
      <c r="U29" s="1"/>
      <c r="V29" s="1"/>
      <c r="W29" s="1"/>
      <c r="X29" s="1"/>
      <c r="Y29" s="1"/>
      <c r="Z29" s="1"/>
      <c r="AA29" s="1"/>
      <c r="AB29" s="1"/>
      <c r="AC29" s="1"/>
      <c r="AD29" s="18" t="str">
        <f>IF(AE29="","",MAX($AD$1:AD28)+1)</f>
        <v/>
      </c>
      <c r="AE29" s="104"/>
      <c r="AG29" s="1"/>
      <c r="AK29" s="160">
        <f>IF(OR($AL29="",COUNTIF($AL$3:$AR$3,$AL$2)=0),"",MAX($AK$3:AK28)+1)</f>
        <v>25</v>
      </c>
      <c r="AL29" s="160" t="s">
        <v>260</v>
      </c>
      <c r="AU29" s="326"/>
      <c r="AV29" s="326"/>
    </row>
    <row r="30" spans="2:65" ht="17" thickBot="1">
      <c r="B30" s="62" t="s">
        <v>52</v>
      </c>
      <c r="C30" s="84">
        <f ca="1">IF(OR(C18=0,C22=0,D28=1),0,IF(ISNA(VLOOKUP($C$55,GP,2,0)),0,VLOOKUP($C$55,GP,2,0)))</f>
        <v>350</v>
      </c>
      <c r="H30" s="85" t="s">
        <v>53</v>
      </c>
      <c r="I30" s="54" t="s">
        <v>54</v>
      </c>
      <c r="L30" s="64" t="s">
        <v>231</v>
      </c>
      <c r="M30" s="64" t="s">
        <v>13</v>
      </c>
      <c r="P30" s="1"/>
      <c r="Q30" s="80"/>
      <c r="R30" s="1"/>
      <c r="S30" s="1"/>
      <c r="T30" s="1"/>
      <c r="U30" s="1"/>
      <c r="V30" s="1"/>
      <c r="W30" s="1"/>
      <c r="X30" s="1"/>
      <c r="Y30" s="1"/>
      <c r="Z30" s="1"/>
      <c r="AA30" s="1"/>
      <c r="AB30" s="1"/>
      <c r="AC30" s="1"/>
      <c r="AD30" s="18" t="str">
        <f>IF(AE30="","",MAX($AD$1:AD29)+1)</f>
        <v/>
      </c>
      <c r="AE30" s="104"/>
      <c r="AG30" s="1"/>
      <c r="AK30" s="160">
        <f>IF(OR($AL30="",COUNTIF($AL$3:$AR$3,$AL$2)=0),"",MAX($AK$3:AK29)+1)</f>
        <v>26</v>
      </c>
      <c r="AL30" s="160" t="s">
        <v>261</v>
      </c>
      <c r="AU30" s="326"/>
      <c r="AW30" s="336"/>
      <c r="AX30" s="336"/>
      <c r="AY30" s="336"/>
      <c r="AZ30" s="336"/>
      <c r="BA30" s="336"/>
      <c r="BB30" s="336"/>
      <c r="BC30" s="336"/>
      <c r="BD30" s="336"/>
      <c r="BE30" s="336"/>
      <c r="BF30" s="336"/>
      <c r="BG30" s="330"/>
      <c r="BH30" s="330"/>
      <c r="BI30" s="330"/>
      <c r="BJ30" s="330"/>
      <c r="BK30" s="330"/>
      <c r="BL30" s="110"/>
      <c r="BM30" s="110"/>
    </row>
    <row r="31" spans="2:65" ht="17" thickTop="1">
      <c r="B31" s="62" t="s">
        <v>55</v>
      </c>
      <c r="C31" s="84">
        <f ca="1">IF($C$21=1,ROUND($C28*BGP,1),IF(C21=2,ROUND($C28*BGP,1),""))</f>
        <v>35000</v>
      </c>
      <c r="D31" s="86"/>
      <c r="H31" s="87" t="s">
        <v>56</v>
      </c>
      <c r="I31" s="88">
        <f>IF($C$24=1,0,1%)</f>
        <v>0.01</v>
      </c>
      <c r="J31" s="59" t="s">
        <v>57</v>
      </c>
      <c r="L31" s="64" t="s">
        <v>56</v>
      </c>
      <c r="M31" s="64" t="str">
        <f>IF($C$24=1,"","金融機構轉帳")</f>
        <v>金融機構轉帳</v>
      </c>
      <c r="P31" s="1"/>
      <c r="Q31" s="80"/>
      <c r="R31" s="1"/>
      <c r="S31" s="1"/>
      <c r="T31" s="1"/>
      <c r="U31" s="1"/>
      <c r="V31" s="1"/>
      <c r="W31" s="1"/>
      <c r="X31" s="1"/>
      <c r="Y31" s="1"/>
      <c r="Z31" s="1"/>
      <c r="AA31" s="1"/>
      <c r="AB31" s="1"/>
      <c r="AC31" s="1"/>
      <c r="AD31" s="18" t="str">
        <f>IF(AE31="","",MAX($AD$1:AD30)+1)</f>
        <v/>
      </c>
      <c r="AE31" s="104"/>
      <c r="AG31" s="1"/>
      <c r="AK31" s="160">
        <f>IF(OR($AL31="",COUNTIF($AL$3:$AR$3,$AL$2)=0),"",MAX($AK$3:AK30)+1)</f>
        <v>27</v>
      </c>
      <c r="AL31" s="160" t="s">
        <v>262</v>
      </c>
      <c r="AU31" s="326"/>
      <c r="AW31" s="325"/>
      <c r="AX31" s="325"/>
      <c r="AY31" s="325"/>
      <c r="AZ31" s="325"/>
      <c r="BA31" s="325"/>
      <c r="BB31" s="325"/>
      <c r="BC31" s="325"/>
      <c r="BD31" s="325"/>
      <c r="BE31" s="325"/>
      <c r="BF31" s="325"/>
      <c r="BG31" s="330"/>
      <c r="BH31" s="330"/>
      <c r="BI31" s="330"/>
      <c r="BJ31" s="330"/>
      <c r="BK31" s="330"/>
      <c r="BL31" s="110"/>
      <c r="BM31" s="110"/>
    </row>
    <row r="32" spans="2:65" ht="16">
      <c r="B32" s="62" t="s">
        <v>53</v>
      </c>
      <c r="C32" s="65" t="str">
        <f>IF(PM="","",PM)</f>
        <v>年繳</v>
      </c>
      <c r="D32" s="66" t="str">
        <f>IF(OR(C32="",C32=0,COUNTIF(繳,$C$32)&lt;1),1,"")</f>
        <v/>
      </c>
      <c r="E32" s="59" t="str">
        <f>IF($D$32=1,"繳別錯誤","")</f>
        <v/>
      </c>
      <c r="H32" s="89" t="s">
        <v>94</v>
      </c>
      <c r="I32" s="88">
        <f>IF($C$24=1,0,1%)</f>
        <v>0.01</v>
      </c>
      <c r="J32" s="90" t="s">
        <v>58</v>
      </c>
      <c r="L32" s="64" t="s">
        <v>94</v>
      </c>
      <c r="M32" s="64" t="str">
        <f>IF($C$24=1,"","富邦信用卡")</f>
        <v>富邦信用卡</v>
      </c>
      <c r="P32" s="1"/>
      <c r="Q32" s="80"/>
      <c r="R32" s="1"/>
      <c r="S32" s="1"/>
      <c r="T32" s="1"/>
      <c r="U32" s="1"/>
      <c r="V32" s="1"/>
      <c r="W32" s="1"/>
      <c r="X32" s="1"/>
      <c r="Y32" s="1"/>
      <c r="Z32" s="1"/>
      <c r="AA32" s="1"/>
      <c r="AB32" s="1"/>
      <c r="AC32" s="1"/>
      <c r="AD32" s="18" t="str">
        <f>IF(AE32="","",MAX($AD$1:AD31)+1)</f>
        <v/>
      </c>
      <c r="AE32" s="104"/>
      <c r="AG32" s="1"/>
      <c r="AK32" s="160">
        <f>IF(OR($AL32="",COUNTIF($AL$3:$AR$3,$AL$2)=0),"",MAX($AK$3:AK31)+1)</f>
        <v>28</v>
      </c>
      <c r="AL32" s="160" t="s">
        <v>764</v>
      </c>
      <c r="AU32" s="326"/>
      <c r="AW32" s="325"/>
      <c r="AX32" s="325"/>
      <c r="AY32" s="325"/>
      <c r="AZ32" s="325"/>
      <c r="BA32" s="325"/>
      <c r="BB32" s="325"/>
      <c r="BC32" s="325"/>
      <c r="BD32" s="325"/>
      <c r="BE32" s="325"/>
      <c r="BF32" s="325"/>
      <c r="BG32" s="330"/>
      <c r="BH32" s="330"/>
      <c r="BI32" s="330"/>
      <c r="BJ32" s="330"/>
      <c r="BK32" s="330"/>
      <c r="BL32" s="110"/>
      <c r="BM32" s="110"/>
    </row>
    <row r="33" spans="2:65" ht="16">
      <c r="B33" s="62" t="s">
        <v>59</v>
      </c>
      <c r="C33" s="65">
        <v>1</v>
      </c>
      <c r="D33" s="66" t="str">
        <f>IF(OR(C33="",C33=0),1,"")</f>
        <v/>
      </c>
      <c r="H33" s="91" t="s">
        <v>60</v>
      </c>
      <c r="I33" s="88">
        <f>IF($C$24=1,0,1%)</f>
        <v>0.01</v>
      </c>
      <c r="L33" s="64" t="str">
        <f>IF($C$24=1,"支票","富邦信用卡")</f>
        <v>富邦信用卡</v>
      </c>
      <c r="M33" s="64" t="str">
        <f>IF($C$24=1,"","一般信用卡")</f>
        <v>一般信用卡</v>
      </c>
      <c r="P33" s="1"/>
      <c r="Q33" s="80"/>
      <c r="R33" s="1"/>
      <c r="S33" s="1"/>
      <c r="T33" s="1"/>
      <c r="U33" s="1"/>
      <c r="V33" s="1"/>
      <c r="W33" s="1"/>
      <c r="X33" s="1"/>
      <c r="Y33" s="1"/>
      <c r="Z33" s="1"/>
      <c r="AA33" s="1"/>
      <c r="AB33" s="1"/>
      <c r="AC33" s="1"/>
      <c r="AD33" s="18" t="str">
        <f>IF(AE33="","",MAX($AD$1:AD32)+1)</f>
        <v/>
      </c>
      <c r="AE33" s="104"/>
      <c r="AF33" s="1"/>
      <c r="AK33" s="160" t="str">
        <f>IF(OR($AL33="",COUNTIF($AL$3:$AR$3,$AL$2)=0),"",MAX($AK$3:AK32)+1)</f>
        <v/>
      </c>
      <c r="AL33" s="160"/>
      <c r="AU33" s="326"/>
      <c r="AW33" s="325"/>
      <c r="AX33" s="322"/>
      <c r="AY33" s="322"/>
      <c r="AZ33" s="322"/>
      <c r="BA33" s="322"/>
      <c r="BB33" s="322"/>
      <c r="BC33" s="322"/>
      <c r="BD33" s="322"/>
      <c r="BE33" s="322"/>
      <c r="BF33" s="325"/>
      <c r="BG33" s="330"/>
      <c r="BH33" s="330"/>
      <c r="BI33" s="330"/>
      <c r="BJ33" s="330"/>
      <c r="BK33" s="330"/>
      <c r="BL33" s="110"/>
      <c r="BM33" s="110"/>
    </row>
    <row r="34" spans="2:65" ht="16">
      <c r="B34" s="62" t="s">
        <v>61</v>
      </c>
      <c r="C34" s="62">
        <f>IF(D32=1,,VLOOKUP(C32,H2:K7,1+C33,FALSE))</f>
        <v>1</v>
      </c>
      <c r="D34" s="92"/>
      <c r="H34" s="114" t="s">
        <v>95</v>
      </c>
      <c r="I34" s="115">
        <f>IF($C$24=1,0,0%)</f>
        <v>0</v>
      </c>
      <c r="J34" s="59" t="s">
        <v>62</v>
      </c>
      <c r="L34" s="64" t="str">
        <f>IF($C$24=1,"","一般信用卡")</f>
        <v>一般信用卡</v>
      </c>
      <c r="M34" s="64" t="str">
        <f>IF($C$24=1,"","收費")</f>
        <v>收費</v>
      </c>
      <c r="P34" s="1"/>
      <c r="Q34" s="80"/>
      <c r="R34" s="1"/>
      <c r="S34" s="1"/>
      <c r="T34" s="1"/>
      <c r="U34" s="1"/>
      <c r="V34" s="1"/>
      <c r="W34" s="1"/>
      <c r="X34" s="1"/>
      <c r="Y34" s="1"/>
      <c r="Z34" s="1"/>
      <c r="AA34" s="1"/>
      <c r="AB34" s="1"/>
      <c r="AC34" s="1"/>
      <c r="AD34" s="18" t="str">
        <f>IF(AE34="","",MAX($AD$1:AD33)+1)</f>
        <v/>
      </c>
      <c r="AE34" s="104"/>
      <c r="AF34" s="1"/>
      <c r="AK34" s="160">
        <f>IF(OR($AL34="",COUNTIF($AL$3:$AR$3,$AL$2)=0),"",MAX($AK$3:AK33)+1)</f>
        <v>29</v>
      </c>
      <c r="AL34" s="160" t="s">
        <v>765</v>
      </c>
      <c r="AW34" s="325"/>
      <c r="AX34" s="322"/>
      <c r="AY34" s="323"/>
      <c r="AZ34" s="323"/>
      <c r="BA34" s="323"/>
      <c r="BB34" s="323"/>
      <c r="BC34" s="323"/>
      <c r="BD34" s="323"/>
      <c r="BE34" s="323"/>
      <c r="BF34" s="325"/>
      <c r="BG34" s="330"/>
      <c r="BH34" s="330"/>
      <c r="BI34" s="330"/>
      <c r="BJ34" s="330"/>
      <c r="BK34" s="330"/>
      <c r="BL34" s="110"/>
      <c r="BM34" s="110"/>
    </row>
    <row r="35" spans="2:65" ht="16">
      <c r="B35" s="62" t="s">
        <v>63</v>
      </c>
      <c r="C35" s="84">
        <f ca="1">IF($C$21=1,ROUND(C31*C34,0),IF($C$21=2,ROUNDDOWN(C31*C34,0),""))</f>
        <v>35000</v>
      </c>
      <c r="H35" s="64" t="s">
        <v>230</v>
      </c>
      <c r="I35" s="68">
        <f>IF($C$24=1,0,0%)</f>
        <v>0</v>
      </c>
      <c r="L35" s="64" t="str">
        <f>IF($C$24=1,"","支票")</f>
        <v>支票</v>
      </c>
      <c r="M35" s="64" t="str">
        <f>IF($C$24=1,"","自行繳費")</f>
        <v>自行繳費</v>
      </c>
      <c r="P35" s="1"/>
      <c r="Q35" s="80"/>
      <c r="R35" s="1"/>
      <c r="S35" s="1"/>
      <c r="T35" s="1"/>
      <c r="U35" s="1"/>
      <c r="V35" s="1"/>
      <c r="W35" s="1"/>
      <c r="X35" s="1"/>
      <c r="Y35" s="1"/>
      <c r="Z35" s="1"/>
      <c r="AA35" s="1"/>
      <c r="AB35" s="1"/>
      <c r="AC35" s="1"/>
      <c r="AD35" s="18" t="str">
        <f>IF(AE35="","",MAX($AD$1:AD34)+1)</f>
        <v/>
      </c>
      <c r="AE35" s="104"/>
      <c r="AF35" s="1"/>
      <c r="AK35" s="160">
        <f>IF(OR($AL35="",COUNTIF($AL$3:$AR$3,$AL$2)=0),"",MAX($AK$3:AK34)+1)</f>
        <v>30</v>
      </c>
      <c r="AL35" s="160" t="s">
        <v>263</v>
      </c>
      <c r="AW35" s="325"/>
      <c r="AX35" s="322"/>
      <c r="AY35" s="323"/>
      <c r="AZ35" s="323"/>
      <c r="BA35" s="323"/>
      <c r="BB35" s="323"/>
      <c r="BC35" s="323"/>
      <c r="BD35" s="323"/>
      <c r="BE35" s="323"/>
      <c r="BF35" s="325"/>
      <c r="BG35" s="330"/>
      <c r="BH35" s="330"/>
      <c r="BI35" s="330"/>
      <c r="BJ35" s="330"/>
      <c r="BK35" s="337"/>
      <c r="BL35" s="111"/>
      <c r="BM35" s="111"/>
    </row>
    <row r="36" spans="2:65" ht="16">
      <c r="B36" s="62" t="s">
        <v>65</v>
      </c>
      <c r="C36" s="93"/>
      <c r="D36" s="59" t="s">
        <v>66</v>
      </c>
      <c r="H36" s="116" t="s">
        <v>64</v>
      </c>
      <c r="I36" s="117">
        <f>IF($C$24=1,0,1%)</f>
        <v>0.01</v>
      </c>
      <c r="J36" s="90" t="s">
        <v>68</v>
      </c>
      <c r="L36" s="64"/>
      <c r="M36" s="64"/>
      <c r="P36" s="1"/>
      <c r="Q36" s="80"/>
      <c r="R36" s="1"/>
      <c r="S36" s="1"/>
      <c r="T36" s="1"/>
      <c r="U36" s="1"/>
      <c r="V36" s="1"/>
      <c r="W36" s="1"/>
      <c r="X36" s="1"/>
      <c r="Y36" s="1"/>
      <c r="Z36" s="1"/>
      <c r="AA36" s="1"/>
      <c r="AB36" s="1"/>
      <c r="AC36" s="1"/>
      <c r="AD36" s="18" t="str">
        <f>IF(AE36="","",MAX($AD$1:AD35)+1)</f>
        <v/>
      </c>
      <c r="AE36" s="104"/>
      <c r="AF36" s="1"/>
      <c r="AK36" s="160">
        <f>IF(OR($AL36="",COUNTIF($AL$3:$AR$3,$AL$2)=0),"",MAX($AK$3:AK35)+1)</f>
        <v>31</v>
      </c>
      <c r="AL36" s="160" t="s">
        <v>264</v>
      </c>
      <c r="AW36" s="325"/>
      <c r="AX36" s="322"/>
      <c r="AY36" s="323"/>
      <c r="AZ36" s="323"/>
      <c r="BA36" s="323"/>
      <c r="BB36" s="323"/>
      <c r="BC36" s="323"/>
      <c r="BD36" s="323"/>
      <c r="BE36" s="323"/>
      <c r="BF36" s="325"/>
      <c r="BK36" s="330"/>
      <c r="BL36" s="110"/>
      <c r="BM36" s="110"/>
    </row>
    <row r="37" spans="2:65" ht="17" thickBot="1">
      <c r="B37" s="62" t="s">
        <v>69</v>
      </c>
      <c r="C37" s="118">
        <v>0</v>
      </c>
      <c r="H37" s="94" t="s">
        <v>67</v>
      </c>
      <c r="I37" s="88">
        <f>IF($C$24=1,0,0%)</f>
        <v>0</v>
      </c>
      <c r="L37" s="64"/>
      <c r="M37" s="64"/>
      <c r="P37" s="1"/>
      <c r="Q37" s="80"/>
      <c r="R37" s="1"/>
      <c r="S37" s="1"/>
      <c r="T37" s="1"/>
      <c r="U37" s="1"/>
      <c r="V37" s="1"/>
      <c r="W37" s="1"/>
      <c r="X37" s="1"/>
      <c r="Y37" s="1"/>
      <c r="Z37" s="1"/>
      <c r="AA37" s="1"/>
      <c r="AB37" s="1"/>
      <c r="AC37" s="1"/>
      <c r="AD37" s="18" t="str">
        <f>IF(AE37="","",MAX($AD$1:AD36)+1)</f>
        <v/>
      </c>
      <c r="AE37" s="104"/>
      <c r="AF37" s="1"/>
      <c r="AK37" s="160" t="str">
        <f>IF(OR($AL37="",COUNTIF($AL$3:$AR$3,$AL$2)=0),"",MAX($AK$3:AK36)+1)</f>
        <v/>
      </c>
      <c r="AL37" s="160"/>
      <c r="AW37" s="325"/>
      <c r="AX37" s="322"/>
      <c r="AY37" s="323"/>
      <c r="AZ37" s="323"/>
      <c r="BA37" s="323"/>
      <c r="BB37" s="323"/>
      <c r="BC37" s="323"/>
      <c r="BD37" s="323"/>
      <c r="BE37" s="323"/>
      <c r="BF37" s="325"/>
      <c r="BG37" s="330"/>
      <c r="BK37" s="330"/>
      <c r="BL37" s="110"/>
      <c r="BM37" s="110"/>
    </row>
    <row r="38" spans="2:65" ht="17" thickTop="1">
      <c r="B38" s="62" t="s">
        <v>236</v>
      </c>
      <c r="C38" s="93">
        <f>IF(AND($C$24&lt;&gt;1,$I$25=2,OR(AND(OR(C41=H31,C41=H35),OR(C43=H32,C43=H33,C43=H34,C43=H36)),$C$41=$H$32,$C$41=$H$33,$C$41=$H$34)),2%,0%)</f>
        <v>0</v>
      </c>
      <c r="D38" s="64" t="str">
        <f>IF(C38&gt;0,"本主約首期保費享有 "&amp;TEXT(C38,"0%")&amp;" 集體彙繳折扣","")</f>
        <v/>
      </c>
      <c r="E38" s="143">
        <f>VLOOKUP(I25,H26:I28,2,0)</f>
        <v>0</v>
      </c>
      <c r="H38" s="64" t="s">
        <v>46</v>
      </c>
      <c r="K38" s="54" t="s">
        <v>70</v>
      </c>
      <c r="P38" s="1"/>
      <c r="Q38" s="80"/>
      <c r="R38" s="1"/>
      <c r="S38" s="1"/>
      <c r="T38" s="1"/>
      <c r="U38" s="1"/>
      <c r="V38" s="1"/>
      <c r="W38" s="1"/>
      <c r="X38" s="1"/>
      <c r="Y38" s="1"/>
      <c r="Z38" s="1"/>
      <c r="AA38" s="1"/>
      <c r="AB38" s="1"/>
      <c r="AC38" s="1"/>
      <c r="AD38" s="18" t="str">
        <f>IF(AE38="","",MAX($AD$1:AD37)+1)</f>
        <v/>
      </c>
      <c r="AE38" s="104"/>
      <c r="AG38" s="1"/>
      <c r="AK38" s="160" t="str">
        <f>IF(OR($AL38="",COUNTIF($AL$3:$AR$3,$AL$2)=0),"",MAX($AK$3:AK37)+1)</f>
        <v/>
      </c>
      <c r="AL38" s="160"/>
      <c r="AW38" s="325"/>
      <c r="AX38" s="322"/>
      <c r="AY38" s="324"/>
      <c r="AZ38" s="324"/>
      <c r="BA38" s="324"/>
      <c r="BB38" s="324"/>
      <c r="BC38" s="324"/>
      <c r="BD38" s="324"/>
      <c r="BE38" s="324"/>
      <c r="BF38" s="325"/>
      <c r="BG38" s="330"/>
      <c r="BK38" s="330"/>
      <c r="BL38" s="110"/>
      <c r="BM38" s="110"/>
    </row>
    <row r="39" spans="2:65" ht="16">
      <c r="B39" s="62" t="s">
        <v>237</v>
      </c>
      <c r="C39" s="93">
        <f>IF(AND($C$24&lt;&gt;1,$I$25=2,OR($C$43=$H$32,$C$43=$H$33,$C$43=$H$34,$C$43=$H$36)),2%,0%)</f>
        <v>0</v>
      </c>
      <c r="D39" s="64" t="str">
        <f>IF(C39&gt;0,"本主約續期保費享有 "&amp;TEXT(C39,"0%")&amp;" 集體彙繳折扣","")</f>
        <v/>
      </c>
      <c r="E39" s="64"/>
      <c r="H39" s="54">
        <v>10</v>
      </c>
      <c r="I39" s="95">
        <v>20</v>
      </c>
      <c r="J39" s="96"/>
      <c r="K39" s="54" t="s">
        <v>778</v>
      </c>
      <c r="P39" s="1"/>
      <c r="Q39" s="80"/>
      <c r="R39" s="1"/>
      <c r="S39" s="1"/>
      <c r="T39" s="1"/>
      <c r="U39" s="1"/>
      <c r="V39" s="1"/>
      <c r="W39" s="1"/>
      <c r="X39" s="1"/>
      <c r="Y39" s="1"/>
      <c r="Z39" s="1"/>
      <c r="AA39" s="1"/>
      <c r="AB39" s="1"/>
      <c r="AC39" s="1"/>
      <c r="AD39" s="18" t="str">
        <f>IF(AE39="","",MAX($AD$1:AD38)+1)</f>
        <v/>
      </c>
      <c r="AE39" s="104"/>
      <c r="AG39" s="1"/>
      <c r="AK39" s="160" t="str">
        <f>IF(OR($AL39="",COUNTIF($AL$3:$AR$3,$AL$2)=0),"",MAX($AK$3:AK38)+1)</f>
        <v/>
      </c>
      <c r="AL39" s="160"/>
      <c r="AW39" s="325"/>
      <c r="AX39" s="322"/>
      <c r="AY39" s="324"/>
      <c r="AZ39" s="324"/>
      <c r="BA39" s="324"/>
      <c r="BB39" s="324"/>
      <c r="BC39" s="324"/>
      <c r="BD39" s="324"/>
      <c r="BE39" s="324"/>
      <c r="BF39" s="325"/>
      <c r="BG39" s="330"/>
      <c r="BK39" s="330"/>
      <c r="BL39" s="110"/>
      <c r="BM39" s="110"/>
    </row>
    <row r="40" spans="2:65" ht="16">
      <c r="B40" s="62" t="s">
        <v>108</v>
      </c>
      <c r="C40" s="93">
        <f>IF(AND($C$24=10,$E$38=1,C41=H32,OR(C43=H32,C43=H36)),8%,IF(AND($C$24=20,$E$38=1,C41=H32,OR(C43=H32,C43=H36)),6%,0%))</f>
        <v>0</v>
      </c>
      <c r="D40" s="64" t="str">
        <f>IF(C40&gt;0,"本保件享有 "&amp;TEXT(C40,"0%")&amp;" 員工轉帳件折扣","")</f>
        <v/>
      </c>
      <c r="H40" s="54"/>
      <c r="I40" s="54"/>
      <c r="J40" s="96"/>
      <c r="K40" s="54"/>
      <c r="P40" s="1"/>
      <c r="Q40" s="80"/>
      <c r="R40" s="1"/>
      <c r="S40" s="1"/>
      <c r="T40" s="1"/>
      <c r="U40" s="1"/>
      <c r="V40" s="1"/>
      <c r="W40" s="1"/>
      <c r="X40" s="1"/>
      <c r="Y40" s="1"/>
      <c r="Z40" s="1"/>
      <c r="AA40" s="1"/>
      <c r="AB40" s="1"/>
      <c r="AC40" s="1"/>
      <c r="AD40" s="18" t="str">
        <f>IF(AE40="","",MAX($AD$1:AD39)+1)</f>
        <v/>
      </c>
      <c r="AE40" s="104"/>
      <c r="AF40" s="1"/>
      <c r="AG40" s="1"/>
      <c r="AK40" s="160" t="str">
        <f>IF(OR($AL40="",COUNTIF($AL$3:$AR$3,$AL$2)=0),"",MAX($AK$3:AK39)+1)</f>
        <v/>
      </c>
      <c r="AL40" s="160"/>
      <c r="AW40" s="325"/>
      <c r="AX40" s="322"/>
      <c r="AY40" s="324"/>
      <c r="AZ40" s="324"/>
      <c r="BA40" s="324"/>
      <c r="BB40" s="324"/>
      <c r="BC40" s="324"/>
      <c r="BD40" s="324"/>
      <c r="BE40" s="324"/>
      <c r="BF40" s="325"/>
      <c r="BG40" s="330"/>
      <c r="BK40" s="330"/>
      <c r="BL40" s="110"/>
      <c r="BM40" s="110"/>
    </row>
    <row r="41" spans="2:65" ht="16">
      <c r="B41" s="62" t="s">
        <v>71</v>
      </c>
      <c r="C41" s="65" t="str">
        <f>輸入頁!Q16</f>
        <v>金融機構轉帳</v>
      </c>
      <c r="D41" s="66"/>
      <c r="H41" s="54"/>
      <c r="I41" s="54"/>
      <c r="J41" s="96"/>
      <c r="K41" s="54"/>
      <c r="P41" s="1"/>
      <c r="Q41" s="80"/>
      <c r="R41" s="1"/>
      <c r="S41" s="1"/>
      <c r="T41" s="1"/>
      <c r="U41" s="1"/>
      <c r="V41" s="1"/>
      <c r="W41" s="1"/>
      <c r="X41" s="1"/>
      <c r="Y41" s="1"/>
      <c r="Z41" s="1"/>
      <c r="AA41" s="1"/>
      <c r="AB41" s="1"/>
      <c r="AC41" s="1"/>
      <c r="AD41" s="18" t="str">
        <f>IF(AE41="","",MAX($AD$1:AD40)+1)</f>
        <v/>
      </c>
      <c r="AE41" s="104"/>
      <c r="AF41" s="1"/>
      <c r="AG41" s="1"/>
      <c r="AK41" s="160" t="str">
        <f>IF(OR($AL41="",COUNTIF($AL$3:$AR$3,$AL$2)=0),"",MAX($AK$3:AK40)+1)</f>
        <v/>
      </c>
      <c r="AL41" s="160"/>
      <c r="AW41" s="325"/>
      <c r="AX41" s="322"/>
      <c r="AY41" s="324"/>
      <c r="AZ41" s="324"/>
      <c r="BA41" s="324"/>
      <c r="BB41" s="324"/>
      <c r="BC41" s="324"/>
      <c r="BD41" s="324"/>
      <c r="BE41" s="324"/>
      <c r="BF41" s="325"/>
      <c r="BG41" s="330"/>
      <c r="BK41" s="330"/>
      <c r="BL41" s="110"/>
      <c r="BM41" s="110"/>
    </row>
    <row r="42" spans="2:65" ht="16">
      <c r="B42" s="62" t="s">
        <v>72</v>
      </c>
      <c r="C42" s="93">
        <f>IF(OR(ISNA(VLOOKUP(C41,$H$30:$I$37,2,FALSE)),$C$40&gt;0),0,VLOOKUP(C41,$H$30:$I$37,2,FALSE))</f>
        <v>0.01</v>
      </c>
      <c r="D42" s="97" t="str">
        <f>IF(C42&gt;0,"-首期享有1%繳別折扣-","")</f>
        <v>-首期享有1%繳別折扣-</v>
      </c>
      <c r="H42" s="85" t="s">
        <v>73</v>
      </c>
      <c r="J42" s="59" t="s">
        <v>310</v>
      </c>
      <c r="Q42" s="80"/>
      <c r="AD42" s="18" t="str">
        <f>IF(AE42="","",MAX($AD$1:AD41)+1)</f>
        <v/>
      </c>
      <c r="AE42" s="61"/>
      <c r="AK42" s="160" t="str">
        <f>IF(OR($AL42="",COUNTIF($AL$3:$AR$3,$AL$2)=0),"",MAX($AK$3:AK41)+1)</f>
        <v/>
      </c>
      <c r="AL42" s="160"/>
      <c r="AW42" s="325"/>
      <c r="AX42" s="325"/>
      <c r="AY42" s="325"/>
      <c r="AZ42" s="325"/>
      <c r="BA42" s="325"/>
      <c r="BB42" s="325"/>
      <c r="BC42" s="325"/>
      <c r="BD42" s="325"/>
      <c r="BE42" s="325"/>
      <c r="BF42" s="325"/>
      <c r="BG42" s="337"/>
      <c r="BK42" s="330"/>
      <c r="BL42" s="110"/>
      <c r="BM42" s="110"/>
    </row>
    <row r="43" spans="2:65" ht="16">
      <c r="B43" s="62" t="s">
        <v>74</v>
      </c>
      <c r="C43" s="65" t="str">
        <f>輸入頁!Q18</f>
        <v>金融機構轉帳</v>
      </c>
      <c r="D43" s="66"/>
      <c r="H43" s="64"/>
      <c r="I43" s="64">
        <v>1</v>
      </c>
      <c r="J43" s="64">
        <v>1</v>
      </c>
      <c r="L43" s="277" t="s">
        <v>503</v>
      </c>
      <c r="M43" s="64" t="str">
        <f>$C$22&amp;"折扣率"</f>
        <v>CLX折扣率</v>
      </c>
      <c r="N43" s="64" t="str">
        <f>$C$22&amp;"續年度折扣後實繳保費"&amp;IF($C$47&gt;0,"(含續期繳費方式折扣"&amp;TEXT($C$47,"0.0%")&amp;")","")</f>
        <v>CLX續年度折扣後實繳保費(含續期繳費方式折扣1.0%)</v>
      </c>
      <c r="Q43" s="80"/>
      <c r="AD43" s="18" t="str">
        <f>IF(AE43="","",MAX($AD$1:AD42)+1)</f>
        <v/>
      </c>
      <c r="AE43" s="61"/>
      <c r="AK43" s="160" t="str">
        <f>IF(OR($AL43="",COUNTIF($AL$3:$AR$3,$AL$2)=0),"",MAX($AK$3:AK42)+1)</f>
        <v/>
      </c>
      <c r="AL43" s="160"/>
      <c r="AW43" s="325"/>
      <c r="AX43" s="325"/>
      <c r="AY43" s="325"/>
      <c r="AZ43" s="325"/>
      <c r="BA43" s="325"/>
      <c r="BB43" s="325"/>
      <c r="BC43" s="325"/>
      <c r="BD43" s="325"/>
      <c r="BE43" s="325"/>
      <c r="BF43" s="325"/>
      <c r="BG43" s="330"/>
      <c r="BK43" s="330"/>
      <c r="BL43" s="110"/>
      <c r="BM43" s="110"/>
    </row>
    <row r="44" spans="2:65" ht="16">
      <c r="B44" s="62" t="s">
        <v>75</v>
      </c>
      <c r="C44" s="93">
        <f>IF(OR(ISNA(VLOOKUP(C43,$H$30:$I$37,2,FALSE)),$C$40&gt;0),0,VLOOKUP(C43,$H$30:$I$37,2,FALSE))</f>
        <v>0.01</v>
      </c>
      <c r="D44" s="97" t="str">
        <f>IF(C44&gt;0,"-續期享有1%繳別折扣-","")</f>
        <v>-續期享有1%繳別折扣-</v>
      </c>
      <c r="H44" s="64">
        <v>10</v>
      </c>
      <c r="I44" s="64">
        <v>10</v>
      </c>
      <c r="J44" s="64">
        <v>10</v>
      </c>
      <c r="L44" s="366" t="s">
        <v>779</v>
      </c>
      <c r="M44" s="145">
        <v>0.01</v>
      </c>
      <c r="N44" s="64">
        <f ca="1">ROUND($C$35*(1-($C$47+$M$44)),0)</f>
        <v>34300</v>
      </c>
      <c r="AD44" s="18" t="str">
        <f>IF(AE44="","",MAX($AD$1:AD43)+1)</f>
        <v/>
      </c>
      <c r="AE44" s="61"/>
      <c r="AK44" s="160" t="str">
        <f>IF(OR($AL44="",COUNTIF($AL$3:$AR$3,$AL$2)=0),"",MAX($AK$3:AK43)+1)</f>
        <v/>
      </c>
      <c r="AL44" s="160"/>
      <c r="AW44" s="325"/>
      <c r="AX44" s="325"/>
      <c r="AY44" s="325"/>
      <c r="AZ44" s="325"/>
      <c r="BA44" s="325"/>
      <c r="BB44" s="325"/>
      <c r="BC44" s="325"/>
      <c r="BD44" s="325"/>
      <c r="BE44" s="325"/>
      <c r="BF44" s="325"/>
      <c r="BG44" s="330"/>
    </row>
    <row r="45" spans="2:65" ht="16">
      <c r="B45" s="62" t="s">
        <v>76</v>
      </c>
      <c r="C45" s="98">
        <f>IF(AND(E38=1,C40&gt;0),8%,6%)</f>
        <v>0.06</v>
      </c>
      <c r="D45" s="66" t="str">
        <f>IF(OR(C45="",),1,"")</f>
        <v/>
      </c>
      <c r="H45" s="64">
        <v>20</v>
      </c>
      <c r="I45" s="64">
        <v>20</v>
      </c>
      <c r="J45" s="64">
        <v>20</v>
      </c>
      <c r="L45" s="64"/>
      <c r="M45" s="367"/>
      <c r="N45" s="64"/>
      <c r="AD45" s="18" t="str">
        <f>IF(AE45="","",MAX($AD$1:AD44)+1)</f>
        <v/>
      </c>
      <c r="AE45" s="61"/>
      <c r="AK45" s="160" t="str">
        <f>IF(OR($AL45="",COUNTIF($AL$3:$AR$3,$AL$2)=0),"",MAX($AK$3:AK44)+1)</f>
        <v/>
      </c>
      <c r="AL45" s="160"/>
      <c r="AW45" s="325"/>
      <c r="AX45" s="325"/>
      <c r="AY45" s="325"/>
      <c r="AZ45" s="325"/>
      <c r="BA45" s="325"/>
      <c r="BB45" s="325"/>
      <c r="BC45" s="325"/>
      <c r="BD45" s="325"/>
      <c r="BE45" s="325"/>
      <c r="BF45" s="325"/>
      <c r="BG45" s="330"/>
    </row>
    <row r="46" spans="2:65" ht="16">
      <c r="B46" s="62" t="s">
        <v>77</v>
      </c>
      <c r="C46" s="99">
        <f>MIN(SUM(C36:C37,C38,C40,C42),C45)</f>
        <v>0.01</v>
      </c>
      <c r="D46" s="146" t="str">
        <f>IF(OR(C42&gt;0,C44&gt;0),"繳費方式折扣‧","")&amp;IF(C37&gt;0,"高保額折扣‧","")&amp;IF(OR(C38&gt;0,C39&gt;0),"集體彙繳件折扣‧","")&amp;IF(OR(C40&gt;0),"員工轉帳件折扣‧","")</f>
        <v>繳費方式折扣‧</v>
      </c>
      <c r="H46" s="132"/>
      <c r="I46" s="64"/>
      <c r="J46" s="64"/>
      <c r="L46" s="64"/>
      <c r="M46" s="367"/>
      <c r="N46" s="64"/>
      <c r="AD46" s="18" t="str">
        <f>IF(AE46="","",MAX($AD$1:AD45)+1)</f>
        <v/>
      </c>
      <c r="AE46" s="61"/>
      <c r="AL46" s="159" t="s">
        <v>265</v>
      </c>
      <c r="AM46" s="159" t="s">
        <v>295</v>
      </c>
      <c r="AN46" s="159" t="s">
        <v>510</v>
      </c>
      <c r="AO46" s="159"/>
      <c r="AP46" s="159"/>
      <c r="AQ46" s="159"/>
      <c r="AR46" s="159"/>
      <c r="BG46" s="330"/>
    </row>
    <row r="47" spans="2:65" ht="16">
      <c r="B47" s="62" t="s">
        <v>78</v>
      </c>
      <c r="C47" s="99">
        <f>MIN(SUM(C37,C39,C40,C44),C45)</f>
        <v>0.01</v>
      </c>
      <c r="D47" s="146" t="str">
        <f>IF(OR(C37+C38+C40+C42&gt;C45,C37+C39+C44&gt;C45),"本商品折扣率上限"&amp;TEXT($C$45,"0%。"),"")</f>
        <v/>
      </c>
      <c r="H47" s="64"/>
      <c r="I47" s="64"/>
      <c r="J47" s="64"/>
      <c r="L47" s="64"/>
      <c r="M47" s="367"/>
      <c r="N47" s="64"/>
      <c r="AD47" s="18" t="str">
        <f>IF(AE47="","",MAX($AD$1:AD46)+1)</f>
        <v/>
      </c>
      <c r="AE47" s="61"/>
      <c r="AK47" s="160" t="str">
        <f>IF(OR($AL47="",COUNTIF($AL$46:$AR$46,$AL$2)=0),"",MAX($AK$3:AK46)+1)</f>
        <v/>
      </c>
      <c r="AL47" s="160" t="s">
        <v>242</v>
      </c>
      <c r="AW47" s="325"/>
      <c r="AX47" s="325"/>
      <c r="AY47" s="325"/>
      <c r="AZ47" s="325"/>
      <c r="BA47" s="325"/>
      <c r="BB47" s="338"/>
      <c r="BG47" s="330"/>
    </row>
    <row r="48" spans="2:65" ht="16">
      <c r="B48" s="62" t="s">
        <v>79</v>
      </c>
      <c r="C48" s="84">
        <f ca="1">ROUND(MGP*(1-C46),0)</f>
        <v>34650</v>
      </c>
      <c r="D48" s="72"/>
      <c r="H48" s="64"/>
      <c r="I48" s="64"/>
      <c r="J48" s="64"/>
      <c r="L48" s="64"/>
      <c r="M48" s="367"/>
      <c r="N48" s="64"/>
      <c r="AD48" s="18" t="str">
        <f>IF(AE48="","",MAX($AD$1:AD47)+1)</f>
        <v/>
      </c>
      <c r="AE48" s="61"/>
      <c r="AK48" s="160" t="str">
        <f>IF(OR($AL48="",COUNTIF($AL$46:$AR$46,$AL$2)=0),"",MAX($AK$3:AK47)+1)</f>
        <v/>
      </c>
      <c r="AL48" s="160" t="s">
        <v>243</v>
      </c>
      <c r="AW48" s="325"/>
      <c r="AX48" s="325"/>
      <c r="AY48" s="325"/>
      <c r="AZ48" s="325"/>
      <c r="BA48" s="325"/>
      <c r="BB48" s="338"/>
      <c r="BG48" s="330"/>
    </row>
    <row r="49" spans="2:59" ht="16">
      <c r="B49" s="62" t="s">
        <v>80</v>
      </c>
      <c r="C49" s="84">
        <f ca="1">ROUND(MGP*(1-C47),0)</f>
        <v>34650</v>
      </c>
      <c r="D49" s="72" t="str">
        <f>IF($C$50=12,"-月繳首期須繳 2個月 "&amp;TEXT($C$48*2,"#,##0 元-"),"")</f>
        <v/>
      </c>
      <c r="L49" s="64"/>
      <c r="M49" s="367"/>
      <c r="N49" s="64"/>
      <c r="AD49" s="18" t="str">
        <f>IF(AE49="","",MAX($AD$1:AD48)+1)</f>
        <v/>
      </c>
      <c r="AE49" s="61"/>
      <c r="AK49" s="160" t="str">
        <f>IF(OR($AL49="",COUNTIF($AL$46:$AR$46,$AL$2)=0),"",MAX($AK$3:AK48)+1)</f>
        <v/>
      </c>
      <c r="AL49" s="160" t="s">
        <v>244</v>
      </c>
      <c r="AW49" s="339"/>
      <c r="AX49" s="325"/>
      <c r="AY49" s="325"/>
      <c r="AZ49" s="325"/>
      <c r="BA49" s="325"/>
      <c r="BB49" s="340"/>
      <c r="BG49" s="330"/>
    </row>
    <row r="50" spans="2:59" ht="16">
      <c r="B50" s="62" t="s">
        <v>81</v>
      </c>
      <c r="C50" s="62">
        <f>IF(D32=1,,VLOOKUP(C32,H2:K7,4,FALSE))</f>
        <v>1</v>
      </c>
      <c r="D50" s="66"/>
      <c r="E50" s="59" t="s">
        <v>82</v>
      </c>
      <c r="H50" s="64" t="s">
        <v>46</v>
      </c>
      <c r="I50" s="64" t="s">
        <v>83</v>
      </c>
      <c r="J50" s="64" t="s">
        <v>84</v>
      </c>
      <c r="AD50" s="18" t="str">
        <f>IF(AE50="","",MAX($AD$1:AD49)+1)</f>
        <v/>
      </c>
      <c r="AE50" s="100"/>
      <c r="AK50" s="160" t="str">
        <f>IF(OR($AL50="",COUNTIF($AL$46:$AR$46,$AL$2)=0),"",MAX($AK$3:AK49)+1)</f>
        <v/>
      </c>
      <c r="AL50" s="160" t="s">
        <v>245</v>
      </c>
      <c r="AW50" s="325"/>
      <c r="AX50" s="325"/>
      <c r="AY50" s="325"/>
      <c r="AZ50" s="339"/>
      <c r="BA50" s="325"/>
      <c r="BB50" s="338"/>
      <c r="BG50" s="330"/>
    </row>
    <row r="51" spans="2:59" ht="16">
      <c r="B51" s="62" t="s">
        <v>85</v>
      </c>
      <c r="C51" s="84">
        <f ca="1">IF(C50=12,C48*2+C49*10,C48*1+C49*(C50-1))</f>
        <v>34650</v>
      </c>
      <c r="D51" s="109">
        <v>40831</v>
      </c>
      <c r="H51" s="54"/>
      <c r="I51" s="54"/>
      <c r="J51" s="54"/>
      <c r="AD51" s="18" t="str">
        <f>IF(AE51="","",MAX($AD$1:AD50)+1)</f>
        <v/>
      </c>
      <c r="AE51" s="100"/>
      <c r="AK51" s="160" t="str">
        <f>IF(OR($AL51="",COUNTIF($AL$46:$AR$46,$AL$2)=0),"",MAX($AK$3:AK50)+1)</f>
        <v/>
      </c>
      <c r="AL51" s="160" t="s">
        <v>246</v>
      </c>
      <c r="AW51" s="325"/>
      <c r="AX51" s="325"/>
      <c r="AY51" s="325"/>
      <c r="AZ51" s="339"/>
      <c r="BA51" s="325"/>
      <c r="BB51" s="338"/>
    </row>
    <row r="52" spans="2:59" ht="16">
      <c r="B52" s="62" t="s">
        <v>86</v>
      </c>
      <c r="C52" s="84">
        <f ca="1">C49*C50</f>
        <v>34650</v>
      </c>
      <c r="H52" s="54">
        <v>10</v>
      </c>
      <c r="I52" s="54">
        <v>18</v>
      </c>
      <c r="J52" s="54">
        <v>60</v>
      </c>
      <c r="AD52" s="18" t="str">
        <f>IF(AE52="","",MAX($AD$1:AD51)+1)</f>
        <v/>
      </c>
      <c r="AE52" s="100"/>
      <c r="AK52" s="160" t="str">
        <f>IF(OR($AL52="",COUNTIF($AL$46:$AR$46,$AL$2)=0),"",MAX($AK$3:AK51)+1)</f>
        <v/>
      </c>
      <c r="AL52" s="160" t="s">
        <v>247</v>
      </c>
      <c r="AW52" s="325"/>
      <c r="AX52" s="325"/>
      <c r="AY52" s="325"/>
      <c r="AZ52" s="339"/>
      <c r="BA52" s="325"/>
      <c r="BB52" s="338"/>
    </row>
    <row r="53" spans="2:59" ht="16">
      <c r="B53" s="78" t="s">
        <v>87</v>
      </c>
      <c r="C53" s="78"/>
      <c r="D53" s="66" t="str">
        <f ca="1">IF(SUM(D15:D16,D28,D32:D33,D40:D41,D43,D45,D50,D24,D64)&gt;=1,1,"")</f>
        <v/>
      </c>
      <c r="H53" s="54">
        <v>20</v>
      </c>
      <c r="I53" s="54">
        <v>18</v>
      </c>
      <c r="J53" s="54">
        <v>50</v>
      </c>
      <c r="AD53" s="18" t="str">
        <f>IF(AE53="","",MAX($AD$1:AD52)+1)</f>
        <v/>
      </c>
      <c r="AE53" s="100"/>
      <c r="AK53" s="160" t="str">
        <f>IF(OR($AL53="",COUNTIF($AL$46:$AR$46,$AL$2)=0),"",MAX($AK$3:AK52)+1)</f>
        <v/>
      </c>
      <c r="AL53" s="160" t="s">
        <v>248</v>
      </c>
      <c r="AW53" s="325"/>
      <c r="AX53" s="325"/>
      <c r="AY53" s="325"/>
      <c r="AZ53" s="339"/>
      <c r="BA53" s="325"/>
      <c r="BB53" s="338"/>
    </row>
    <row r="54" spans="2:59" ht="16">
      <c r="B54" s="62" t="s">
        <v>88</v>
      </c>
      <c r="C54" s="101" t="s">
        <v>836</v>
      </c>
      <c r="H54" s="54"/>
      <c r="I54" s="54"/>
      <c r="J54" s="54"/>
      <c r="AD54" s="18" t="str">
        <f>IF(AE54="","",MAX($AD$1:AD53)+1)</f>
        <v/>
      </c>
      <c r="AE54" s="100"/>
      <c r="AK54" s="160" t="str">
        <f>IF(OR($AL54="",COUNTIF($AL$46:$AR$46,$AL$2)=0),"",MAX($AK$3:AK53)+1)</f>
        <v/>
      </c>
      <c r="AL54" s="160" t="s">
        <v>249</v>
      </c>
      <c r="AW54" s="325"/>
      <c r="AX54" s="325"/>
      <c r="AY54" s="325"/>
      <c r="AZ54" s="339"/>
      <c r="BA54" s="325"/>
      <c r="BB54" s="338"/>
    </row>
    <row r="55" spans="2:59" ht="16">
      <c r="B55" s="62" t="s">
        <v>24</v>
      </c>
      <c r="C55" s="62" t="str">
        <f ca="1">$C$22&amp;$C$24&amp;TEXT($C$18,"00")&amp;TEXT($D$5,"00")</f>
        <v>CLX200239</v>
      </c>
      <c r="D55" s="59" t="s">
        <v>89</v>
      </c>
      <c r="H55" s="58">
        <f>IF(C22=I55,1,3)</f>
        <v>1</v>
      </c>
      <c r="I55" s="64" t="s">
        <v>778</v>
      </c>
      <c r="J55" s="64"/>
      <c r="K55" s="64"/>
      <c r="L55" s="64"/>
      <c r="AD55" s="18" t="str">
        <f>IF(AE55="","",MAX($AD$1:AD54)+1)</f>
        <v/>
      </c>
      <c r="AE55" s="100"/>
      <c r="AK55" s="160" t="str">
        <f>IF(OR($AL55="",COUNTIF($AL$46:$AR$46,$AL$2)=0),"",MAX($AK$3:AK54)+1)</f>
        <v/>
      </c>
      <c r="AL55" s="160" t="s">
        <v>250</v>
      </c>
      <c r="AW55" s="325"/>
      <c r="AX55" s="325"/>
      <c r="AY55" s="325"/>
      <c r="AZ55" s="339"/>
      <c r="BA55" s="325"/>
      <c r="BB55" s="338"/>
    </row>
    <row r="56" spans="2:59" ht="16">
      <c r="B56" s="62" t="s">
        <v>90</v>
      </c>
      <c r="C56" s="62" t="str">
        <f>IF($C$24=1,$C$22,C22&amp;TEXT($C$24,"00"))</f>
        <v>CLX20</v>
      </c>
      <c r="D56" s="102" t="s">
        <v>91</v>
      </c>
      <c r="H56" s="64" t="s">
        <v>50</v>
      </c>
      <c r="I56" s="64" t="s">
        <v>48</v>
      </c>
      <c r="J56" s="64" t="s">
        <v>49</v>
      </c>
      <c r="K56" s="64"/>
      <c r="L56" s="64"/>
      <c r="AD56" s="18" t="str">
        <f>IF(AE56="","",MAX($AD$1:AD55)+1)</f>
        <v/>
      </c>
      <c r="AE56" s="100"/>
      <c r="AK56" s="160" t="str">
        <f>IF(OR($AL56="",COUNTIF($AL$46:$AR$46,$AL$2)=0),"",MAX($AK$3:AK55)+1)</f>
        <v/>
      </c>
      <c r="AL56" s="160" t="s">
        <v>251</v>
      </c>
      <c r="AW56" s="325"/>
      <c r="AX56" s="325"/>
      <c r="AY56" s="325"/>
      <c r="AZ56" s="339"/>
      <c r="BA56" s="325"/>
      <c r="BB56" s="338"/>
    </row>
    <row r="57" spans="2:59" ht="16">
      <c r="B57" s="62" t="s">
        <v>99</v>
      </c>
      <c r="C57" s="62">
        <f ca="1">$F$57+1-D5</f>
        <v>51</v>
      </c>
      <c r="D57" s="310"/>
      <c r="E57" s="59" t="s">
        <v>360</v>
      </c>
      <c r="F57" s="159">
        <v>89</v>
      </c>
      <c r="H57" s="54"/>
      <c r="I57" s="54"/>
      <c r="J57" s="54"/>
      <c r="K57" s="54"/>
      <c r="L57" s="54"/>
      <c r="AD57" s="18" t="str">
        <f>IF(AE57="","",MAX($AD$1:AD56)+1)</f>
        <v/>
      </c>
      <c r="AE57" s="100"/>
      <c r="AK57" s="160" t="str">
        <f>IF(OR($AL57="",COUNTIF($AL$46:$AR$46,$AL$2)=0),"",MAX($AK$3:AK56)+1)</f>
        <v/>
      </c>
      <c r="AL57" s="160" t="s">
        <v>252</v>
      </c>
      <c r="AW57" s="325"/>
      <c r="AX57" s="325"/>
      <c r="AY57" s="325"/>
      <c r="AZ57" s="339"/>
      <c r="BA57" s="325"/>
      <c r="BB57" s="338"/>
    </row>
    <row r="58" spans="2:59" ht="16">
      <c r="B58" s="62" t="s">
        <v>509</v>
      </c>
      <c r="C58" s="62" t="str">
        <f>$C$22&amp;TEXT($C$24,"00")</f>
        <v>CLX20</v>
      </c>
      <c r="H58" s="54">
        <v>10</v>
      </c>
      <c r="I58" s="54">
        <v>50</v>
      </c>
      <c r="J58" s="54">
        <f ca="1">VLOOKUP($D$5,$H$72:$I$132,2,0)</f>
        <v>300</v>
      </c>
      <c r="K58" s="54"/>
      <c r="L58" s="54"/>
      <c r="AD58" s="18" t="str">
        <f>IF(AE58="","",MAX($AD$1:AD57)+1)</f>
        <v/>
      </c>
      <c r="AE58" s="100"/>
      <c r="AK58" s="160" t="str">
        <f>IF(OR($AL58="",COUNTIF($AL$46:$AR$46,$AL$2)=0),"",MAX($AK$3:AK57)+1)</f>
        <v/>
      </c>
      <c r="AL58" s="160" t="s">
        <v>298</v>
      </c>
      <c r="AW58" s="325"/>
      <c r="AX58" s="325"/>
      <c r="AY58" s="325"/>
      <c r="AZ58" s="339"/>
      <c r="BA58" s="325"/>
      <c r="BB58" s="338"/>
    </row>
    <row r="59" spans="2:59" ht="16">
      <c r="H59" s="54">
        <v>20</v>
      </c>
      <c r="I59" s="54">
        <v>50</v>
      </c>
      <c r="J59" s="54">
        <f ca="1">VLOOKUP($D$5,$H$72:$I$132,2,0)</f>
        <v>300</v>
      </c>
      <c r="K59" s="54"/>
      <c r="L59" s="54"/>
      <c r="AD59" s="18" t="str">
        <f>IF(AE59="","",MAX($AD$1:AD58)+1)</f>
        <v/>
      </c>
      <c r="AE59" s="100"/>
      <c r="AK59" s="160" t="str">
        <f>IF(OR($AL59="",COUNTIF($AL$46:$AR$46,$AL$2)=0),"",MAX($AK$3:AK58)+1)</f>
        <v/>
      </c>
      <c r="AL59" s="160" t="s">
        <v>299</v>
      </c>
      <c r="AW59" s="325"/>
      <c r="AX59" s="325"/>
      <c r="AY59" s="325"/>
      <c r="AZ59" s="339"/>
      <c r="BA59" s="325"/>
      <c r="BB59" s="338"/>
    </row>
    <row r="60" spans="2:59" ht="16">
      <c r="H60" s="54"/>
      <c r="I60" s="54"/>
      <c r="J60" s="54"/>
      <c r="K60" s="64"/>
      <c r="L60" s="64"/>
      <c r="AD60" s="18" t="str">
        <f>IF(AE60="","",MAX($AD$1:AD59)+1)</f>
        <v/>
      </c>
      <c r="AE60" s="100"/>
      <c r="AK60" s="160" t="str">
        <f>IF(OR($AL60="",COUNTIF($AL$46:$AR$46,$AL$2)=0),"",MAX($AK$3:AK59)+1)</f>
        <v/>
      </c>
      <c r="AL60" s="160" t="s">
        <v>253</v>
      </c>
      <c r="AW60" s="325"/>
      <c r="AX60" s="325"/>
      <c r="AY60" s="325"/>
      <c r="AZ60" s="339"/>
      <c r="BA60" s="325"/>
      <c r="BB60" s="338"/>
    </row>
    <row r="61" spans="2:59" ht="16">
      <c r="H61" s="75" t="s">
        <v>109</v>
      </c>
      <c r="I61" s="131">
        <f>HLOOKUP(H61,H62:K63,2,0)</f>
        <v>1</v>
      </c>
      <c r="AD61" s="18" t="str">
        <f>IF(AE61="","",MAX($AD$1:AD60)+1)</f>
        <v/>
      </c>
      <c r="AE61" s="100"/>
      <c r="AK61" s="160" t="str">
        <f>IF(OR($AL61="",COUNTIF($AL$46:$AR$46,$AL$2)=0),"",MAX($AK$3:AK60)+1)</f>
        <v/>
      </c>
      <c r="AL61" s="160" t="s">
        <v>760</v>
      </c>
      <c r="AW61" s="325"/>
      <c r="AX61" s="325"/>
      <c r="AY61" s="325"/>
      <c r="AZ61" s="339"/>
      <c r="BA61" s="325"/>
      <c r="BB61" s="338"/>
    </row>
    <row r="62" spans="2:59" ht="16">
      <c r="H62" s="64" t="s">
        <v>110</v>
      </c>
      <c r="I62" s="64" t="s">
        <v>111</v>
      </c>
      <c r="J62" s="64" t="s">
        <v>112</v>
      </c>
      <c r="K62" s="64" t="s">
        <v>113</v>
      </c>
      <c r="AD62" s="18" t="str">
        <f>IF(AE62="","",MAX($AD$1:AD61)+1)</f>
        <v/>
      </c>
      <c r="AE62" s="100"/>
      <c r="AK62" s="160" t="str">
        <f>IF(OR($AL62="",COUNTIF($AL$46:$AR$46,$AL$2)=0),"",MAX($AK$3:AK61)+1)</f>
        <v/>
      </c>
      <c r="AL62" s="160" t="s">
        <v>761</v>
      </c>
      <c r="AW62" s="325"/>
      <c r="AX62" s="325"/>
      <c r="AY62" s="325"/>
      <c r="AZ62" s="339"/>
      <c r="BA62" s="325"/>
      <c r="BB62" s="338"/>
    </row>
    <row r="63" spans="2:59" ht="16">
      <c r="H63" s="64">
        <v>1</v>
      </c>
      <c r="I63" s="64">
        <v>2</v>
      </c>
      <c r="J63" s="64">
        <v>3</v>
      </c>
      <c r="K63" s="64">
        <v>4</v>
      </c>
      <c r="AD63" s="18" t="str">
        <f>IF(AE63="","",MAX($AD$1:AD62)+1)</f>
        <v/>
      </c>
      <c r="AE63" s="100"/>
      <c r="AK63" s="160" t="str">
        <f>IF(OR($AL63="",COUNTIF($AL$46:$AR$46,$AL$2)=0),"",MAX($AK$3:AK62)+1)</f>
        <v/>
      </c>
      <c r="AL63" s="160" t="s">
        <v>762</v>
      </c>
      <c r="AW63" s="325"/>
      <c r="AX63" s="325"/>
      <c r="AY63" s="325"/>
      <c r="AZ63" s="339"/>
      <c r="BA63" s="325"/>
      <c r="BB63" s="338"/>
    </row>
    <row r="64" spans="2:59" ht="16">
      <c r="B64" s="254" t="s">
        <v>302</v>
      </c>
      <c r="C64" s="255">
        <f>輸入頁!$J$24</f>
        <v>100</v>
      </c>
      <c r="D64" s="256" t="str">
        <f>IF(ROUND($C$64,$E$28)&lt;&gt;$C$64,1,"")</f>
        <v/>
      </c>
      <c r="E64" s="256" t="str">
        <f>IF(D64=1,"保額輸入"&amp;C64&amp;"不符投保規則，請重新輸入","")</f>
        <v/>
      </c>
      <c r="AD64" s="18" t="str">
        <f>IF(AE64="","",MAX($AD$1:AD63)+1)</f>
        <v/>
      </c>
      <c r="AE64" s="100"/>
      <c r="AK64" s="160" t="str">
        <f>IF(OR($AL64="",COUNTIF($AL$46:$AR$46,$AL$2)=0),"",MAX($AK$3:AK63)+1)</f>
        <v/>
      </c>
      <c r="AL64" s="160" t="s">
        <v>266</v>
      </c>
      <c r="AW64" s="325"/>
      <c r="AX64" s="325"/>
      <c r="AY64" s="325"/>
      <c r="AZ64" s="339"/>
      <c r="BA64" s="325"/>
      <c r="BB64" s="338"/>
    </row>
    <row r="65" spans="2:63" ht="16">
      <c r="H65" s="64"/>
      <c r="I65" s="64"/>
      <c r="J65" s="64"/>
      <c r="K65" s="64"/>
      <c r="L65" s="64"/>
      <c r="M65" s="64"/>
      <c r="N65" s="64"/>
      <c r="O65" s="64"/>
      <c r="P65" s="64"/>
      <c r="Q65" s="64"/>
      <c r="AD65" s="18" t="str">
        <f>IF(AE65="","",MAX($AD$1:AD64)+1)</f>
        <v/>
      </c>
      <c r="AK65" s="160" t="str">
        <f>IF(OR($AL65="",COUNTIF($AL$46:$AR$46,$AL$2)=0),"",MAX($AK$3:AK64)+1)</f>
        <v/>
      </c>
      <c r="AL65" s="160" t="s">
        <v>254</v>
      </c>
      <c r="AW65" s="325"/>
      <c r="AX65" s="325"/>
      <c r="AY65" s="325"/>
      <c r="AZ65" s="339"/>
      <c r="BA65" s="325"/>
      <c r="BB65" s="338"/>
    </row>
    <row r="66" spans="2:63" ht="16">
      <c r="H66" s="64"/>
      <c r="I66" s="64"/>
      <c r="J66" s="64"/>
      <c r="K66" s="64"/>
      <c r="L66" s="64"/>
      <c r="M66" s="64"/>
      <c r="N66" s="64"/>
      <c r="O66" s="64"/>
      <c r="P66" s="64"/>
      <c r="Q66" s="64"/>
      <c r="AD66" s="18" t="str">
        <f>IF(AE66="","",MAX($AD$1:AD65)+1)</f>
        <v/>
      </c>
      <c r="AK66" s="160" t="str">
        <f>IF(OR($AL66="",COUNTIF($AL$46:$AR$46,$AL$2)=0),"",MAX($AK$3:AK65)+1)</f>
        <v/>
      </c>
      <c r="AL66" s="160" t="s">
        <v>255</v>
      </c>
      <c r="AW66" s="325"/>
      <c r="AX66" s="325"/>
      <c r="AY66" s="325"/>
      <c r="AZ66" s="339"/>
      <c r="BA66" s="325"/>
      <c r="BB66" s="338"/>
    </row>
    <row r="67" spans="2:63" ht="16">
      <c r="H67" s="64"/>
      <c r="I67" s="64"/>
      <c r="J67" s="64"/>
      <c r="K67" s="64"/>
      <c r="L67" s="64"/>
      <c r="M67" s="64"/>
      <c r="N67" s="64"/>
      <c r="O67" s="64"/>
      <c r="P67" s="64"/>
      <c r="Q67" s="64"/>
      <c r="AD67" s="18" t="str">
        <f>IF(AE67="","",MAX($AD$1:AD66)+1)</f>
        <v/>
      </c>
      <c r="AK67" s="160" t="str">
        <f>IF(OR($AL67="",COUNTIF($AL$46:$AR$46,$AL$2)=0),"",MAX($AK$3:AK66)+1)</f>
        <v/>
      </c>
      <c r="AL67" s="160" t="s">
        <v>256</v>
      </c>
      <c r="AW67" s="325"/>
      <c r="AX67" s="325"/>
      <c r="AY67" s="325"/>
      <c r="AZ67" s="339"/>
      <c r="BA67" s="325"/>
      <c r="BB67" s="338"/>
    </row>
    <row r="68" spans="2:63" ht="16">
      <c r="H68" s="64"/>
      <c r="I68" s="64"/>
      <c r="J68" s="64"/>
      <c r="K68" s="64"/>
      <c r="L68" s="64"/>
      <c r="M68" s="64"/>
      <c r="N68" s="64"/>
      <c r="O68" s="64"/>
      <c r="P68" s="64"/>
      <c r="Q68" s="64"/>
      <c r="AD68" s="18" t="str">
        <f>IF(AE68="","",MAX($AD$1:AD67)+1)</f>
        <v/>
      </c>
      <c r="AK68" s="160" t="str">
        <f>IF(OR($AL68="",COUNTIF($AL$46:$AR$46,$AL$2)=0),"",MAX($AK$3:AK67)+1)</f>
        <v/>
      </c>
      <c r="AL68" s="160" t="s">
        <v>257</v>
      </c>
      <c r="AW68" s="325"/>
      <c r="AX68" s="325"/>
      <c r="AY68" s="325"/>
      <c r="AZ68" s="339"/>
      <c r="BA68" s="325"/>
      <c r="BB68" s="338"/>
    </row>
    <row r="69" spans="2:63" ht="16">
      <c r="B69" s="54" t="s">
        <v>241</v>
      </c>
      <c r="C69" s="150" t="s">
        <v>511</v>
      </c>
      <c r="D69" s="59" t="s">
        <v>358</v>
      </c>
      <c r="E69" s="309"/>
      <c r="F69" s="59" t="s">
        <v>359</v>
      </c>
      <c r="AD69" s="18" t="str">
        <f>IF(AE69="","",MAX($AD$1:AD68)+1)</f>
        <v/>
      </c>
      <c r="AK69" s="160" t="str">
        <f>IF(OR($AL69="",COUNTIF($AL$46:$AR$46,$AL$2)=0),"",MAX($AK$3:AK68)+1)</f>
        <v/>
      </c>
      <c r="AL69" s="160" t="s">
        <v>258</v>
      </c>
      <c r="AW69" s="325"/>
      <c r="AX69" s="325"/>
      <c r="AY69" s="325"/>
      <c r="AZ69" s="339"/>
      <c r="BA69" s="325"/>
      <c r="BB69" s="338"/>
    </row>
    <row r="70" spans="2:63">
      <c r="AK70" s="160" t="str">
        <f>IF(OR($AL70="",COUNTIF($AL$46:$AR$46,$AL$2)=0),"",MAX($AK$3:AK69)+1)</f>
        <v/>
      </c>
      <c r="AL70" s="160" t="s">
        <v>259</v>
      </c>
    </row>
    <row r="71" spans="2:63">
      <c r="B71" s="222" t="s">
        <v>277</v>
      </c>
      <c r="C71" s="222"/>
      <c r="D71" s="222"/>
      <c r="E71" s="222"/>
      <c r="H71" s="352" t="s">
        <v>492</v>
      </c>
      <c r="I71" s="353" t="s">
        <v>493</v>
      </c>
      <c r="J71" s="352" t="s">
        <v>494</v>
      </c>
      <c r="K71" s="352" t="s">
        <v>495</v>
      </c>
      <c r="L71" s="352" t="s">
        <v>496</v>
      </c>
      <c r="M71" s="352" t="s">
        <v>498</v>
      </c>
      <c r="N71" s="352" t="s">
        <v>497</v>
      </c>
      <c r="O71" s="352" t="s">
        <v>499</v>
      </c>
      <c r="AK71" s="160" t="str">
        <f>IF(OR($AL71="",COUNTIF($AL$46:$AR$46,$AL$2)=0),"",MAX($AK$3:AK70)+1)</f>
        <v/>
      </c>
      <c r="AL71" s="160" t="s">
        <v>260</v>
      </c>
      <c r="AW71" s="328"/>
      <c r="AX71" s="328"/>
      <c r="AY71" s="328"/>
      <c r="AZ71" s="328"/>
      <c r="BA71" s="328"/>
      <c r="BB71" s="328"/>
      <c r="BC71" s="328"/>
      <c r="BD71" s="328"/>
      <c r="BE71" s="328"/>
      <c r="BF71" s="328"/>
      <c r="BG71" s="328"/>
      <c r="BH71" s="328"/>
      <c r="BI71" s="328"/>
      <c r="BJ71" s="328"/>
      <c r="BK71" s="341"/>
    </row>
    <row r="72" spans="2:63">
      <c r="B72" s="222" t="s">
        <v>278</v>
      </c>
      <c r="C72" s="223" t="str">
        <f>IN</f>
        <v>客戶</v>
      </c>
      <c r="D72" s="222" t="s">
        <v>279</v>
      </c>
      <c r="E72" s="224">
        <v>0</v>
      </c>
      <c r="H72" s="64">
        <v>0</v>
      </c>
      <c r="I72" s="354">
        <v>0</v>
      </c>
      <c r="J72" s="64"/>
      <c r="K72" s="64"/>
      <c r="L72" s="354">
        <v>1000</v>
      </c>
      <c r="M72" s="354">
        <v>0</v>
      </c>
      <c r="N72" s="354">
        <v>0</v>
      </c>
      <c r="O72" s="354">
        <v>0</v>
      </c>
      <c r="AK72" s="160" t="str">
        <f>IF(OR($AL72="",COUNTIF($AL$46:$AR$46,$AL$2)=0),"",MAX($AK$3:AK71)+1)</f>
        <v/>
      </c>
      <c r="AL72" s="160" t="s">
        <v>261</v>
      </c>
      <c r="AW72" s="331"/>
      <c r="AX72" s="331"/>
      <c r="AY72" s="331"/>
      <c r="AZ72" s="332"/>
      <c r="BA72" s="331"/>
      <c r="BB72" s="331"/>
      <c r="BC72" s="331"/>
      <c r="BD72" s="331"/>
      <c r="BE72" s="331"/>
      <c r="BF72" s="331"/>
      <c r="BG72" s="331"/>
      <c r="BH72" s="331"/>
      <c r="BI72" s="331"/>
      <c r="BJ72" s="331"/>
      <c r="BK72" s="334"/>
    </row>
    <row r="73" spans="2:63">
      <c r="B73" s="222" t="s">
        <v>280</v>
      </c>
      <c r="C73" s="225" t="str">
        <f>IF(E72=0,C72,IF(OR(E73=1,C72="",C72=0)," ",IF(AND(E82=0),C74&amp;MID(C72,7,50),IF(LEN(C72)=1,C72,LEFT(C72,LEN(C72)-2)&amp;"○"&amp;RIGHT(C72,1)))))</f>
        <v>客戶</v>
      </c>
      <c r="D73" s="226" t="s">
        <v>281</v>
      </c>
      <c r="E73" s="226"/>
      <c r="H73" s="64">
        <v>1</v>
      </c>
      <c r="I73" s="354">
        <v>0</v>
      </c>
      <c r="J73" s="64"/>
      <c r="K73" s="64"/>
      <c r="L73" s="354">
        <v>1000</v>
      </c>
      <c r="M73" s="354">
        <v>0</v>
      </c>
      <c r="N73" s="354">
        <v>0</v>
      </c>
      <c r="O73" s="354">
        <v>0</v>
      </c>
      <c r="AK73" s="160" t="str">
        <f>IF(OR($AL73="",COUNTIF($AL$46:$AR$46,$AL$2)=0),"",MAX($AK$3:AK72)+1)</f>
        <v/>
      </c>
      <c r="AL73" s="160" t="s">
        <v>262</v>
      </c>
      <c r="AW73" s="331"/>
      <c r="AX73" s="331"/>
      <c r="AY73" s="331"/>
      <c r="AZ73" s="332"/>
      <c r="BA73" s="331"/>
      <c r="BB73" s="331"/>
      <c r="BC73" s="331"/>
      <c r="BD73" s="331"/>
      <c r="BE73" s="331"/>
      <c r="BF73" s="331"/>
      <c r="BG73" s="331"/>
      <c r="BH73" s="331"/>
      <c r="BI73" s="331"/>
      <c r="BJ73" s="331"/>
      <c r="BK73" s="334"/>
    </row>
    <row r="74" spans="2:63">
      <c r="B74" s="226" t="str">
        <f>IF(OR(E73=1,C72="",C72=0),"",IF(AND(E82=0),LEN(C72),""))</f>
        <v/>
      </c>
      <c r="C74" s="227" t="str">
        <f>IF(OR(B74=""),"",IF(ISERROR(VLOOKUP(B74,B75:C80,2,0)),C80,VLOOKUP(B74,B75:C80,2,0)))</f>
        <v/>
      </c>
      <c r="D74" s="228" t="s">
        <v>282</v>
      </c>
      <c r="E74" s="229">
        <f>IF(AND(ISNUMBER(C72),LEN(C72)=11),1,0)</f>
        <v>0</v>
      </c>
      <c r="H74" s="64">
        <v>2</v>
      </c>
      <c r="I74" s="354">
        <v>0</v>
      </c>
      <c r="J74" s="64"/>
      <c r="K74" s="64"/>
      <c r="L74" s="354">
        <v>1000</v>
      </c>
      <c r="M74" s="354">
        <v>0</v>
      </c>
      <c r="N74" s="354">
        <v>0</v>
      </c>
      <c r="O74" s="354">
        <v>0</v>
      </c>
      <c r="AK74" s="160" t="str">
        <f>IF(OR($AL74="",COUNTIF($AL$46:$AR$46,$AL$2)=0),"",MAX($AK$3:AK73)+1)</f>
        <v/>
      </c>
      <c r="AL74" s="160" t="s">
        <v>764</v>
      </c>
      <c r="AW74" s="331"/>
      <c r="AX74" s="331"/>
      <c r="AY74" s="331"/>
      <c r="AZ74" s="332"/>
      <c r="BA74" s="331"/>
      <c r="BB74" s="331"/>
      <c r="BC74" s="331"/>
      <c r="BD74" s="331"/>
      <c r="BE74" s="331"/>
      <c r="BF74" s="331"/>
      <c r="BG74" s="331"/>
      <c r="BH74" s="331"/>
      <c r="BI74" s="331"/>
      <c r="BJ74" s="331"/>
      <c r="BK74" s="334"/>
    </row>
    <row r="75" spans="2:63">
      <c r="B75" s="230">
        <v>1</v>
      </c>
      <c r="C75" s="230" t="s">
        <v>283</v>
      </c>
      <c r="D75" s="228" t="s">
        <v>284</v>
      </c>
      <c r="E75" s="229">
        <f>IF(AND(LEN(C72)=10,ISTEXT(LEFT(C72,1)),ISNUMBER(RIGHT(C72,1)*1)),1,0)</f>
        <v>0</v>
      </c>
      <c r="H75" s="64">
        <v>3</v>
      </c>
      <c r="I75" s="354">
        <v>0</v>
      </c>
      <c r="J75" s="64"/>
      <c r="K75" s="64"/>
      <c r="L75" s="354">
        <v>1000</v>
      </c>
      <c r="M75" s="354">
        <v>0</v>
      </c>
      <c r="N75" s="354">
        <v>0</v>
      </c>
      <c r="O75" s="354">
        <v>0</v>
      </c>
      <c r="AK75" s="160" t="str">
        <f>IF(OR($AL75="",COUNTIF($AL$46:$AR$46,$AL$2)=0),"",MAX($AK$3:AK74)+1)</f>
        <v/>
      </c>
      <c r="AL75" s="160"/>
      <c r="AW75" s="331"/>
      <c r="AX75" s="331"/>
      <c r="AY75" s="331"/>
      <c r="AZ75" s="332"/>
      <c r="BA75" s="331"/>
      <c r="BB75" s="331"/>
      <c r="BC75" s="331"/>
      <c r="BD75" s="331"/>
      <c r="BE75" s="331"/>
      <c r="BF75" s="331"/>
      <c r="BG75" s="331"/>
      <c r="BH75" s="331"/>
      <c r="BI75" s="331"/>
      <c r="BJ75" s="331"/>
      <c r="BK75" s="334"/>
    </row>
    <row r="76" spans="2:63">
      <c r="B76" s="230">
        <v>2</v>
      </c>
      <c r="C76" s="230" t="s">
        <v>285</v>
      </c>
      <c r="D76" s="228" t="s">
        <v>286</v>
      </c>
      <c r="E76" s="229">
        <f>IF(AND(ISNUMBER(C72),LEN(C72)=9),1,0)</f>
        <v>0</v>
      </c>
      <c r="H76" s="64">
        <v>4</v>
      </c>
      <c r="I76" s="354">
        <v>0</v>
      </c>
      <c r="J76" s="64"/>
      <c r="K76" s="64"/>
      <c r="L76" s="354">
        <v>1000</v>
      </c>
      <c r="M76" s="354">
        <v>0</v>
      </c>
      <c r="N76" s="354">
        <v>0</v>
      </c>
      <c r="O76" s="354">
        <v>0</v>
      </c>
      <c r="AK76" s="160" t="str">
        <f>IF(OR($AL76="",COUNTIF($AL$46:$AR$46,$AL$2)=0),"",MAX($AK$3:AK75)+1)</f>
        <v/>
      </c>
      <c r="AL76" s="160" t="s">
        <v>765</v>
      </c>
      <c r="AW76" s="331"/>
      <c r="AX76" s="331"/>
      <c r="AY76" s="331"/>
      <c r="AZ76" s="332"/>
      <c r="BA76" s="331"/>
      <c r="BB76" s="331"/>
      <c r="BC76" s="331"/>
      <c r="BD76" s="331"/>
      <c r="BE76" s="331"/>
      <c r="BF76" s="331"/>
      <c r="BG76" s="331"/>
      <c r="BH76" s="331"/>
      <c r="BI76" s="331"/>
      <c r="BJ76" s="331"/>
      <c r="BK76" s="334"/>
    </row>
    <row r="77" spans="2:63">
      <c r="B77" s="230">
        <v>3</v>
      </c>
      <c r="C77" s="230" t="s">
        <v>287</v>
      </c>
      <c r="D77" s="229"/>
      <c r="E77" s="229"/>
      <c r="H77" s="64">
        <v>5</v>
      </c>
      <c r="I77" s="354">
        <v>0</v>
      </c>
      <c r="J77" s="64"/>
      <c r="K77" s="64"/>
      <c r="L77" s="354">
        <v>1000</v>
      </c>
      <c r="M77" s="354">
        <v>0</v>
      </c>
      <c r="N77" s="354">
        <v>0</v>
      </c>
      <c r="O77" s="354">
        <v>0</v>
      </c>
      <c r="AK77" s="160" t="str">
        <f>IF(OR($AL77="",COUNTIF($AL$46:$AR$46,$AL$2)=0),"",MAX($AK$3:AK76)+1)</f>
        <v/>
      </c>
      <c r="AL77" s="160" t="s">
        <v>263</v>
      </c>
      <c r="AW77" s="331"/>
      <c r="AX77" s="331"/>
      <c r="AY77" s="331"/>
      <c r="AZ77" s="332"/>
      <c r="BA77" s="331"/>
      <c r="BB77" s="331"/>
      <c r="BC77" s="331"/>
      <c r="BD77" s="331"/>
      <c r="BE77" s="331"/>
      <c r="BF77" s="331"/>
      <c r="BG77" s="331"/>
      <c r="BH77" s="331"/>
      <c r="BI77" s="331"/>
      <c r="BJ77" s="331"/>
      <c r="BK77" s="334"/>
    </row>
    <row r="78" spans="2:63">
      <c r="B78" s="230">
        <v>4</v>
      </c>
      <c r="C78" s="230" t="s">
        <v>288</v>
      </c>
      <c r="D78" s="229"/>
      <c r="E78" s="229"/>
      <c r="H78" s="64">
        <v>6</v>
      </c>
      <c r="I78" s="354">
        <v>0</v>
      </c>
      <c r="J78" s="64"/>
      <c r="K78" s="64"/>
      <c r="L78" s="354">
        <v>1000</v>
      </c>
      <c r="M78" s="354">
        <v>0</v>
      </c>
      <c r="N78" s="354">
        <v>0</v>
      </c>
      <c r="O78" s="354">
        <v>0</v>
      </c>
      <c r="AK78" s="160" t="str">
        <f>IF(OR($AL78="",COUNTIF($AL$46:$AR$46,$AL$2)=0),"",MAX($AK$3:AK77)+1)</f>
        <v/>
      </c>
      <c r="AL78" s="160" t="s">
        <v>264</v>
      </c>
      <c r="AW78" s="331"/>
      <c r="AX78" s="331"/>
      <c r="AY78" s="331"/>
      <c r="AZ78" s="332"/>
      <c r="BA78" s="331"/>
      <c r="BB78" s="331"/>
      <c r="BC78" s="331"/>
      <c r="BD78" s="331"/>
      <c r="BE78" s="331"/>
      <c r="BF78" s="331"/>
      <c r="BG78" s="331"/>
      <c r="BH78" s="331"/>
      <c r="BI78" s="331"/>
      <c r="BJ78" s="331"/>
      <c r="BK78" s="334"/>
    </row>
    <row r="79" spans="2:63">
      <c r="B79" s="230">
        <v>5</v>
      </c>
      <c r="C79" s="230" t="s">
        <v>289</v>
      </c>
      <c r="D79" s="229"/>
      <c r="E79" s="229"/>
      <c r="H79" s="64">
        <v>7</v>
      </c>
      <c r="I79" s="354">
        <v>0</v>
      </c>
      <c r="J79" s="64"/>
      <c r="K79" s="64"/>
      <c r="L79" s="354">
        <v>1000</v>
      </c>
      <c r="M79" s="354">
        <v>0</v>
      </c>
      <c r="N79" s="354">
        <v>0</v>
      </c>
      <c r="O79" s="354">
        <v>0</v>
      </c>
      <c r="AK79" s="160" t="str">
        <f>IF(OR($AL79="",COUNTIF($AL$46:$AR$46,$AL$2)=0),"",MAX($AK$3:AK78)+1)</f>
        <v/>
      </c>
      <c r="AL79" s="160"/>
      <c r="AW79" s="331"/>
      <c r="AX79" s="331"/>
      <c r="AY79" s="331"/>
      <c r="AZ79" s="332"/>
      <c r="BA79" s="331"/>
      <c r="BB79" s="331"/>
      <c r="BC79" s="331"/>
      <c r="BD79" s="331"/>
      <c r="BE79" s="331"/>
      <c r="BF79" s="331"/>
      <c r="BG79" s="331"/>
      <c r="BH79" s="331"/>
      <c r="BI79" s="331"/>
      <c r="BJ79" s="331"/>
      <c r="BK79" s="334"/>
    </row>
    <row r="80" spans="2:63">
      <c r="B80" s="230">
        <v>6</v>
      </c>
      <c r="C80" s="230" t="s">
        <v>290</v>
      </c>
      <c r="D80" s="229"/>
      <c r="E80" s="229"/>
      <c r="H80" s="64">
        <v>8</v>
      </c>
      <c r="I80" s="354">
        <v>0</v>
      </c>
      <c r="J80" s="64"/>
      <c r="K80" s="64"/>
      <c r="L80" s="354">
        <v>1000</v>
      </c>
      <c r="M80" s="354">
        <v>0</v>
      </c>
      <c r="N80" s="354">
        <v>0</v>
      </c>
      <c r="O80" s="354">
        <v>0</v>
      </c>
      <c r="AK80" s="160" t="str">
        <f>IF(OR($AL80="",COUNTIF($AL$46:$AR$46,$AL$2)=0),"",MAX($AK$3:AK79)+1)</f>
        <v/>
      </c>
      <c r="AL80" s="160"/>
      <c r="AW80" s="331"/>
      <c r="AX80" s="331"/>
      <c r="AY80" s="331"/>
      <c r="AZ80" s="332"/>
      <c r="BA80" s="331"/>
      <c r="BB80" s="331"/>
      <c r="BC80" s="331"/>
      <c r="BD80" s="331"/>
      <c r="BE80" s="331"/>
      <c r="BF80" s="331"/>
      <c r="BG80" s="331"/>
      <c r="BH80" s="331"/>
      <c r="BI80" s="331"/>
      <c r="BJ80" s="331"/>
      <c r="BK80" s="334"/>
    </row>
    <row r="81" spans="2:63">
      <c r="B81" s="231" t="s">
        <v>291</v>
      </c>
      <c r="C81" s="232" t="str">
        <f>IF(OR(ISERROR(SEARCH(" ",C72)),CODE(C72)&gt;255),"",SEARCH(" ",C72))</f>
        <v/>
      </c>
      <c r="D81" s="229"/>
      <c r="E81" s="229"/>
      <c r="H81" s="64">
        <v>9</v>
      </c>
      <c r="I81" s="354">
        <v>0</v>
      </c>
      <c r="J81" s="64"/>
      <c r="K81" s="64"/>
      <c r="L81" s="354">
        <v>1000</v>
      </c>
      <c r="M81" s="354">
        <v>0</v>
      </c>
      <c r="N81" s="354">
        <v>0</v>
      </c>
      <c r="O81" s="354">
        <v>0</v>
      </c>
      <c r="AK81" s="160" t="str">
        <f>IF(OR($AL81="",COUNTIF($AL$46:$AR$46,$AL$2)=0),"",MAX($AK$3:AK80)+1)</f>
        <v/>
      </c>
      <c r="AL81" s="160"/>
      <c r="AW81" s="331"/>
      <c r="AX81" s="331"/>
      <c r="AY81" s="331"/>
      <c r="AZ81" s="332"/>
      <c r="BA81" s="331"/>
      <c r="BB81" s="331"/>
      <c r="BC81" s="331"/>
      <c r="BD81" s="331"/>
      <c r="BE81" s="331"/>
      <c r="BF81" s="331"/>
      <c r="BG81" s="331"/>
      <c r="BH81" s="331"/>
      <c r="BI81" s="331"/>
      <c r="BJ81" s="331"/>
      <c r="BK81" s="334"/>
    </row>
    <row r="82" spans="2:63">
      <c r="B82" s="231" t="s">
        <v>292</v>
      </c>
      <c r="C82" s="232" t="str">
        <f>IF(OR(ISERROR(SEARCH(" ",C72)),CODE(C72)&gt;255),"",UPPER(LEFT(C72,1)&amp;"."&amp;MID(C72,C81+1,1)))</f>
        <v/>
      </c>
      <c r="D82" s="226" t="s">
        <v>293</v>
      </c>
      <c r="E82" s="226">
        <f>IF(LEN(C72)*2=LENB(C72),1,0)</f>
        <v>1</v>
      </c>
      <c r="H82" s="64">
        <v>10</v>
      </c>
      <c r="I82" s="354">
        <v>0</v>
      </c>
      <c r="J82" s="64"/>
      <c r="K82" s="64"/>
      <c r="L82" s="354">
        <v>1000</v>
      </c>
      <c r="M82" s="354">
        <v>0</v>
      </c>
      <c r="N82" s="354">
        <v>0</v>
      </c>
      <c r="O82" s="354">
        <v>0</v>
      </c>
      <c r="AK82" s="160" t="str">
        <f>IF(OR($AL82="",COUNTIF($AL$46:$AR$46,$AL$2)=0),"",MAX($AK$3:AK81)+1)</f>
        <v/>
      </c>
      <c r="AL82" s="160"/>
      <c r="AW82" s="331"/>
      <c r="AX82" s="331"/>
      <c r="AY82" s="331"/>
      <c r="AZ82" s="332"/>
      <c r="BA82" s="331"/>
      <c r="BB82" s="331"/>
      <c r="BC82" s="331"/>
      <c r="BD82" s="331"/>
      <c r="BE82" s="331"/>
      <c r="BF82" s="331"/>
      <c r="BG82" s="331"/>
      <c r="BH82" s="331"/>
      <c r="BI82" s="331"/>
      <c r="BJ82" s="331"/>
      <c r="BK82" s="334"/>
    </row>
    <row r="83" spans="2:63">
      <c r="H83" s="64">
        <v>11</v>
      </c>
      <c r="I83" s="354">
        <v>0</v>
      </c>
      <c r="J83" s="64"/>
      <c r="K83" s="64"/>
      <c r="L83" s="354">
        <v>1000</v>
      </c>
      <c r="M83" s="354">
        <v>0</v>
      </c>
      <c r="N83" s="354">
        <v>0</v>
      </c>
      <c r="O83" s="354">
        <v>0</v>
      </c>
      <c r="AK83" s="160" t="str">
        <f>IF(OR($AL83="",COUNTIF($AL$46:$AR$46,$AL$2)=0),"",MAX($AK$3:AK82)+1)</f>
        <v/>
      </c>
      <c r="AL83" s="160"/>
      <c r="AW83" s="331"/>
      <c r="AX83" s="331"/>
      <c r="AY83" s="331"/>
      <c r="AZ83" s="332"/>
      <c r="BA83" s="331"/>
      <c r="BB83" s="331"/>
      <c r="BC83" s="331"/>
      <c r="BD83" s="331"/>
      <c r="BE83" s="331"/>
      <c r="BF83" s="331"/>
      <c r="BG83" s="331"/>
      <c r="BH83" s="331"/>
      <c r="BI83" s="331"/>
      <c r="BJ83" s="331"/>
      <c r="BK83" s="334"/>
    </row>
    <row r="84" spans="2:63">
      <c r="H84" s="64">
        <v>12</v>
      </c>
      <c r="I84" s="354">
        <v>0</v>
      </c>
      <c r="J84" s="64"/>
      <c r="K84" s="64"/>
      <c r="L84" s="354">
        <v>1000</v>
      </c>
      <c r="M84" s="354">
        <v>0</v>
      </c>
      <c r="N84" s="354">
        <v>0</v>
      </c>
      <c r="O84" s="354">
        <v>0</v>
      </c>
      <c r="AK84" s="160" t="str">
        <f>IF(OR($AL84="",COUNTIF($AL$46:$AR$46,$AL$2)=0),"",MAX($AK$3:AK83)+1)</f>
        <v/>
      </c>
      <c r="AL84" s="160"/>
      <c r="AW84" s="334"/>
      <c r="AX84" s="334"/>
      <c r="AY84" s="334"/>
      <c r="AZ84" s="335"/>
      <c r="BA84" s="334"/>
      <c r="BB84" s="334"/>
      <c r="BC84" s="334"/>
      <c r="BD84" s="334"/>
      <c r="BE84" s="334"/>
      <c r="BF84" s="334"/>
      <c r="BG84" s="334"/>
      <c r="BH84" s="334"/>
      <c r="BI84" s="334"/>
      <c r="BJ84" s="334"/>
      <c r="BK84" s="334"/>
    </row>
    <row r="85" spans="2:63">
      <c r="B85" s="271" t="s">
        <v>311</v>
      </c>
      <c r="C85" s="272">
        <v>1</v>
      </c>
      <c r="D85" s="272">
        <v>0</v>
      </c>
      <c r="H85" s="64">
        <v>13</v>
      </c>
      <c r="I85" s="354">
        <v>0</v>
      </c>
      <c r="J85" s="64"/>
      <c r="K85" s="64"/>
      <c r="L85" s="354">
        <v>1000</v>
      </c>
      <c r="M85" s="354">
        <v>0</v>
      </c>
      <c r="N85" s="354">
        <v>0</v>
      </c>
      <c r="O85" s="354">
        <v>0</v>
      </c>
      <c r="AK85" s="160" t="str">
        <f>IF(OR($AL85="",COUNTIF($AL$46:$AR$46,$AL$2)=0),"",MAX($AK$3:AK84)+1)</f>
        <v/>
      </c>
      <c r="AL85" s="160"/>
      <c r="AW85" s="334"/>
      <c r="AX85" s="334"/>
      <c r="AY85" s="334"/>
      <c r="AZ85" s="335"/>
      <c r="BA85" s="334"/>
      <c r="BB85" s="334"/>
      <c r="BC85" s="334"/>
      <c r="BD85" s="334"/>
      <c r="BE85" s="334"/>
      <c r="BF85" s="334"/>
      <c r="BG85" s="334"/>
      <c r="BH85" s="334"/>
      <c r="BI85" s="334"/>
      <c r="BJ85" s="334"/>
      <c r="BK85" s="334"/>
    </row>
    <row r="86" spans="2:63">
      <c r="B86" s="273" t="s">
        <v>312</v>
      </c>
      <c r="C86" s="274">
        <f ca="1">IF($D$53=1,"",DATE(YEAR($D$3)+$D$6,MONTH($D$3)+6,MIN(DAY($D$3),$E$86)+1))</f>
        <v>46357</v>
      </c>
      <c r="D86" s="275">
        <f>MONTH($D$3)+IF(MONTH($D$3)&lt;=6,6,-6)</f>
        <v>11</v>
      </c>
      <c r="E86" s="276">
        <f>IF(OR($D$86=1,$D$86=3,$D$86=5,$D$86=7,$D$86=8,$D$86=10,$D$86=12),31,IF(OR($D$86=4,$D$86=6,$D$86=9,$D$86=11),30,IF(AND($D$86=2,YEAR($C$3)/4=INT(YEAR($C$3)/4),YEAR($C$3)/400&lt;&gt;INT(YEAR($C$3)/400)),29,28)))</f>
        <v>30</v>
      </c>
      <c r="H86" s="64">
        <v>14</v>
      </c>
      <c r="I86" s="354">
        <v>0</v>
      </c>
      <c r="J86" s="64"/>
      <c r="K86" s="64"/>
      <c r="L86" s="354">
        <v>1000</v>
      </c>
      <c r="M86" s="354">
        <v>0</v>
      </c>
      <c r="N86" s="354">
        <v>0</v>
      </c>
      <c r="O86" s="354">
        <v>0</v>
      </c>
      <c r="AK86" s="160" t="str">
        <f>IF(OR($AL86="",COUNTIF($AL$46:$AR$46,$AL$2)=0),"",MAX($AK$3:AK85)+1)</f>
        <v/>
      </c>
      <c r="AL86" s="160"/>
      <c r="AW86" s="334"/>
      <c r="AX86" s="334"/>
      <c r="AY86" s="334"/>
      <c r="AZ86" s="335"/>
      <c r="BA86" s="334"/>
      <c r="BB86" s="334"/>
      <c r="BC86" s="334"/>
      <c r="BD86" s="334"/>
      <c r="BE86" s="334"/>
      <c r="BF86" s="334"/>
      <c r="BG86" s="334"/>
      <c r="BH86" s="334"/>
      <c r="BI86" s="334"/>
      <c r="BJ86" s="334"/>
      <c r="BK86" s="334"/>
    </row>
    <row r="87" spans="2:63">
      <c r="B87" s="54"/>
      <c r="C87" s="276">
        <f ca="1">IF($D$53=1,"",IF(C86&lt;$C$3,"",C86-$C$3))</f>
        <v>118</v>
      </c>
      <c r="D87" s="276" t="str">
        <f ca="1">IF(C85=0,"",IF(OR($D$53=1,C87=""),"",IF(AND(C87&gt;=1,C87&lt;=30),"提醒您：被保險人將於 "&amp;MONTH(C86)&amp;" 月 "&amp;DAY(C86)&amp;" 日 ( "&amp;C87&amp;"天後 ) 保險年齡增加一歲"&amp;IF(D85=0,"。","，"&amp;$C$22&amp;$C$32&amp;"保險費"&amp;IF($C$32="躉繳","","每期")&amp;IF(E88&gt;=0,"增加 ","減少 ")&amp;TEXT(E88,"#,##0 元")&amp;"。"),"")))</f>
        <v/>
      </c>
      <c r="E87" s="276"/>
      <c r="H87" s="64">
        <v>15</v>
      </c>
      <c r="I87" s="354">
        <v>0</v>
      </c>
      <c r="J87" s="64"/>
      <c r="K87" s="64"/>
      <c r="L87" s="354">
        <v>1000</v>
      </c>
      <c r="M87" s="354">
        <v>0</v>
      </c>
      <c r="N87" s="354">
        <v>0</v>
      </c>
      <c r="O87" s="354">
        <v>0</v>
      </c>
      <c r="AK87" s="160" t="str">
        <f>IF(OR($AL87="",COUNTIF($AL$46:$AR$46,$AL$2)=0),"",MAX($AK$3:AK86)+1)</f>
        <v/>
      </c>
      <c r="AL87" s="160"/>
      <c r="AW87" s="334"/>
      <c r="AX87" s="334"/>
      <c r="AY87" s="334"/>
      <c r="AZ87" s="335"/>
      <c r="BA87" s="334"/>
      <c r="BB87" s="334"/>
      <c r="BC87" s="334"/>
      <c r="BD87" s="334"/>
      <c r="BE87" s="334"/>
      <c r="BF87" s="334"/>
      <c r="BG87" s="334"/>
      <c r="BH87" s="334"/>
      <c r="BI87" s="334"/>
      <c r="BJ87" s="334"/>
      <c r="BK87" s="334"/>
    </row>
    <row r="88" spans="2:63">
      <c r="B88" s="277" t="s">
        <v>313</v>
      </c>
      <c r="C88" s="276" t="str">
        <f ca="1">C22&amp;IF($C$24=1,"",TEXT($C$24,"00"))&amp;TEXT($C$18,"00")&amp;TEXT($D$5+1,"00")</f>
        <v>CLX200240</v>
      </c>
      <c r="D88" s="278">
        <f ca="1">IF(ISNA(VLOOKUP(C88,GP,2,0)),0,IF($C$21=1,ROUND(VLOOKUP(C88,GP,2,0)*$C$28*$C$34,0),IF($C$21=2,ROUNDDOWN(VLOOKUP(C88,GP,2,0)*$C$28*C34,0),"")))</f>
        <v>35500</v>
      </c>
      <c r="E88" s="278">
        <f ca="1">D88-$C$35</f>
        <v>500</v>
      </c>
      <c r="H88" s="64">
        <v>16</v>
      </c>
      <c r="I88" s="354">
        <v>0</v>
      </c>
      <c r="J88" s="64"/>
      <c r="K88" s="64"/>
      <c r="L88" s="354">
        <v>1000</v>
      </c>
      <c r="M88" s="354">
        <v>0</v>
      </c>
      <c r="N88" s="354">
        <v>0</v>
      </c>
      <c r="O88" s="354">
        <v>0</v>
      </c>
      <c r="AK88" s="160" t="str">
        <f>IF(OR($AL88="",COUNTIF($AL$46:$AR$46,$AL$2)=0),"",MAX($AK$3:AK87)+1)</f>
        <v/>
      </c>
      <c r="AL88" s="160"/>
      <c r="AW88" s="334"/>
      <c r="AX88" s="334"/>
      <c r="AY88" s="334"/>
      <c r="AZ88" s="335"/>
      <c r="BA88" s="334"/>
      <c r="BB88" s="334"/>
      <c r="BC88" s="334"/>
      <c r="BD88" s="334"/>
      <c r="BE88" s="334"/>
      <c r="BF88" s="334"/>
      <c r="BG88" s="334"/>
      <c r="BH88" s="334"/>
      <c r="BI88" s="334"/>
      <c r="BJ88" s="334"/>
      <c r="BK88" s="334"/>
    </row>
    <row r="89" spans="2:63">
      <c r="B89"/>
      <c r="C89" s="279"/>
      <c r="H89" s="64">
        <v>17</v>
      </c>
      <c r="I89" s="354">
        <v>0</v>
      </c>
      <c r="J89" s="64"/>
      <c r="K89" s="64"/>
      <c r="L89" s="354">
        <v>1000</v>
      </c>
      <c r="M89" s="354">
        <v>0</v>
      </c>
      <c r="N89" s="354">
        <v>0</v>
      </c>
      <c r="O89" s="354">
        <v>0</v>
      </c>
      <c r="AK89" s="160" t="str">
        <f>IF(OR($AL89="",COUNTIF($AL$46:$AR$46,$AL$2)=0),"",MAX($AK$3:AK88)+1)</f>
        <v/>
      </c>
      <c r="AL89" s="160"/>
    </row>
    <row r="90" spans="2:63">
      <c r="B90" s="280" t="s">
        <v>314</v>
      </c>
      <c r="C90" s="281" t="s">
        <v>315</v>
      </c>
      <c r="D90" s="282" t="s">
        <v>316</v>
      </c>
      <c r="E90" s="67" t="s">
        <v>317</v>
      </c>
      <c r="H90" s="64">
        <v>18</v>
      </c>
      <c r="I90" s="355">
        <v>300</v>
      </c>
      <c r="J90" s="64"/>
      <c r="K90" s="64"/>
      <c r="L90" s="354">
        <v>1000</v>
      </c>
      <c r="M90" s="354">
        <v>0</v>
      </c>
      <c r="N90" s="354">
        <v>0</v>
      </c>
      <c r="O90" s="354">
        <v>0</v>
      </c>
      <c r="AK90" s="160" t="str">
        <f>IF(OR($AL90="",COUNTIF($AL$46:$AR$46,$AL$2)=0),"",MAX($AK$3:AK89)+1)</f>
        <v/>
      </c>
      <c r="AL90" s="160"/>
    </row>
    <row r="91" spans="2:63">
      <c r="B91" s="283" t="s">
        <v>318</v>
      </c>
      <c r="C91" s="54"/>
      <c r="D91" s="159" t="str">
        <f ca="1">IF(OR(OP!$D$53=1,AND(OP!C46=0,OP!C47=0)),"","本保件符合保費折扣條件："&amp;OP!$K$9)</f>
        <v>本保件符合保費折扣條件：繳費方式 1.0%折扣</v>
      </c>
      <c r="E91" s="64"/>
      <c r="H91" s="64">
        <v>19</v>
      </c>
      <c r="I91" s="355">
        <v>300</v>
      </c>
      <c r="J91" s="64"/>
      <c r="K91" s="64"/>
      <c r="L91" s="354">
        <v>1000</v>
      </c>
      <c r="M91" s="354">
        <v>0</v>
      </c>
      <c r="N91" s="354">
        <v>0</v>
      </c>
      <c r="O91" s="354">
        <v>0</v>
      </c>
    </row>
    <row r="92" spans="2:63">
      <c r="B92" s="283" t="s">
        <v>319</v>
      </c>
      <c r="C92" s="54"/>
      <c r="D92" s="159" t="str">
        <f ca="1">IF(OR(OP!$D$53=1),"",$C$32&amp;"總保費 "&amp;TEXT($C$35,"#,##0元")&amp;IF(AND($C$46=0,$C$47=0),"","，"&amp;IF($C$24=1,IF(OP!$C$46&gt;0,"躉繳折扣後保費 "&amp;TEXT($C$48,"#,##0 元"),""),IF($C$46&gt;0,"首期折扣後保費 "&amp;TEXT($C$48,"#,##0 元 "),"首期保費 "&amp;TEXT($C$48,"#,##0 元 "))&amp;"，"&amp;IF($C$47&gt;0,"續期折扣後保費 "&amp;TEXT($C$49,"#,##0 元 "),"續期保費 "&amp;TEXT($C$49,"#,##0 元 "))))&amp;$D$49)</f>
        <v xml:space="preserve">年繳總保費 35,000元，首期折扣後保費 34,650 元 ，續期折扣後保費 34,650 元 </v>
      </c>
      <c r="E92" s="64"/>
      <c r="H92" s="64">
        <v>20</v>
      </c>
      <c r="I92" s="355">
        <v>300</v>
      </c>
      <c r="J92" s="64"/>
      <c r="K92" s="64"/>
      <c r="L92" s="354">
        <v>1000</v>
      </c>
      <c r="M92" s="354">
        <v>0</v>
      </c>
      <c r="N92" s="354">
        <v>0</v>
      </c>
      <c r="O92" s="354">
        <v>0</v>
      </c>
    </row>
    <row r="93" spans="2:63">
      <c r="B93" s="283" t="s">
        <v>320</v>
      </c>
      <c r="C93" s="54"/>
      <c r="D93" s="159" t="str">
        <f ca="1">IF(OP!$D$53=1,"",OP!$C$23&amp;IF(OP!C24=1,"(躉繳)",IF(OP!$C$24=65,"(繳費至"&amp;OP!$C$24&amp;"歲滿期)","(繳費"&amp;OP!$C$24&amp;"年)")))</f>
        <v>富邦人壽真馨相守防癌定期健康保險(繳費20年)</v>
      </c>
      <c r="E93" s="64"/>
      <c r="H93" s="64">
        <v>21</v>
      </c>
      <c r="I93" s="355">
        <v>300</v>
      </c>
      <c r="J93" s="64"/>
      <c r="K93" s="64"/>
      <c r="L93" s="354">
        <v>1000</v>
      </c>
      <c r="M93" s="354">
        <v>0</v>
      </c>
      <c r="N93" s="354">
        <v>0</v>
      </c>
      <c r="O93" s="354">
        <v>0</v>
      </c>
    </row>
    <row r="94" spans="2:63">
      <c r="B94" s="283" t="s">
        <v>501</v>
      </c>
      <c r="C94" s="272" t="str">
        <f>$E$21</f>
        <v>新臺幣</v>
      </c>
      <c r="D94" s="292" t="str">
        <f>$B$94&amp;$C$94</f>
        <v>本保單計價幣別：新臺幣</v>
      </c>
      <c r="E94" s="64"/>
      <c r="H94" s="64">
        <v>22</v>
      </c>
      <c r="I94" s="355">
        <v>300</v>
      </c>
      <c r="J94" s="64"/>
      <c r="K94" s="64"/>
      <c r="L94" s="354">
        <v>1000</v>
      </c>
      <c r="M94" s="354">
        <v>0</v>
      </c>
      <c r="N94" s="354">
        <v>0</v>
      </c>
      <c r="O94" s="354">
        <v>0</v>
      </c>
    </row>
    <row r="95" spans="2:63">
      <c r="B95" s="284" t="str">
        <f ca="1">IF(OP!$C$105="停售","宣告利率：",YEAR(OP!$C$3)-1911&amp;" / "&amp;MONTH(OP!$C$3)&amp;" 宣告利率：")</f>
        <v>115 / 8 宣告利率：</v>
      </c>
      <c r="C95" s="54"/>
      <c r="D95" s="285" t="str">
        <f ca="1">$B$95&amp;$C$95</f>
        <v>115 / 8 宣告利率：</v>
      </c>
      <c r="E95" s="64"/>
      <c r="H95" s="64">
        <v>23</v>
      </c>
      <c r="I95" s="355">
        <v>300</v>
      </c>
      <c r="J95" s="64"/>
      <c r="K95" s="64"/>
      <c r="L95" s="354">
        <v>1000</v>
      </c>
      <c r="M95" s="354">
        <v>0</v>
      </c>
      <c r="N95" s="354">
        <v>0</v>
      </c>
      <c r="O95" s="354">
        <v>0</v>
      </c>
    </row>
    <row r="96" spans="2:63">
      <c r="B96" s="283" t="s">
        <v>321</v>
      </c>
      <c r="C96" s="54"/>
      <c r="D96" s="285" t="str">
        <f>$B$96&amp;$C$96</f>
        <v>增值回饋分享金給付方式：</v>
      </c>
      <c r="E96" s="64"/>
      <c r="H96" s="64">
        <v>24</v>
      </c>
      <c r="I96" s="355">
        <v>300</v>
      </c>
      <c r="J96" s="64"/>
      <c r="K96" s="64"/>
      <c r="L96" s="354">
        <v>1000</v>
      </c>
      <c r="M96" s="354">
        <v>0</v>
      </c>
      <c r="N96" s="354">
        <v>0</v>
      </c>
      <c r="O96" s="354">
        <v>0</v>
      </c>
    </row>
    <row r="97" spans="2:15">
      <c r="B97" s="283" t="s">
        <v>322</v>
      </c>
      <c r="C97" s="54"/>
      <c r="D97" s="159" t="str">
        <f ca="1">$D$95&amp;"，"&amp;$D$96</f>
        <v>115 / 8 宣告利率：，增值回饋分享金給付方式：</v>
      </c>
      <c r="E97" s="54" t="s">
        <v>323</v>
      </c>
      <c r="H97" s="64">
        <v>25</v>
      </c>
      <c r="I97" s="355">
        <v>300</v>
      </c>
      <c r="J97" s="64"/>
      <c r="K97" s="64"/>
      <c r="L97" s="354">
        <v>1000</v>
      </c>
      <c r="M97" s="354">
        <v>0</v>
      </c>
      <c r="N97" s="354">
        <v>0</v>
      </c>
      <c r="O97" s="354">
        <v>0</v>
      </c>
    </row>
    <row r="98" spans="2:15">
      <c r="B98" s="283" t="s">
        <v>322</v>
      </c>
      <c r="C98" s="54"/>
      <c r="D98" s="286" t="str">
        <f ca="1">$D$95&amp;"，"&amp;$C$98</f>
        <v>115 / 8 宣告利率：，</v>
      </c>
      <c r="E98" s="54" t="s">
        <v>324</v>
      </c>
      <c r="H98" s="64">
        <v>26</v>
      </c>
      <c r="I98" s="355">
        <v>300</v>
      </c>
      <c r="J98" s="64"/>
      <c r="K98" s="64"/>
      <c r="L98" s="354">
        <v>1000</v>
      </c>
      <c r="M98" s="354">
        <v>0</v>
      </c>
      <c r="N98" s="354">
        <v>0</v>
      </c>
      <c r="O98" s="354">
        <v>0</v>
      </c>
    </row>
    <row r="99" spans="2:15">
      <c r="B99" s="54"/>
      <c r="C99" s="54"/>
      <c r="D99" s="64"/>
      <c r="E99" s="64"/>
      <c r="H99" s="64">
        <v>27</v>
      </c>
      <c r="I99" s="355">
        <v>300</v>
      </c>
      <c r="J99" s="64"/>
      <c r="K99" s="64"/>
      <c r="L99" s="354">
        <v>1000</v>
      </c>
      <c r="M99" s="354">
        <v>0</v>
      </c>
      <c r="N99" s="354">
        <v>0</v>
      </c>
      <c r="O99" s="354">
        <v>0</v>
      </c>
    </row>
    <row r="100" spans="2:15">
      <c r="B100" s="283" t="s">
        <v>325</v>
      </c>
      <c r="C100" s="272" t="s">
        <v>361</v>
      </c>
      <c r="D100" s="159" t="str">
        <f>$B$100&amp;$C$100</f>
        <v>商品文號：105.11.14富壽商精字第 1050003499 號函備查、110.07.26富壽商精字第1100001366號函備查</v>
      </c>
      <c r="E100" s="64"/>
      <c r="H100" s="64">
        <v>28</v>
      </c>
      <c r="I100" s="355">
        <v>300</v>
      </c>
      <c r="J100" s="64"/>
      <c r="K100" s="64"/>
      <c r="L100" s="354">
        <v>1000</v>
      </c>
      <c r="M100" s="354">
        <v>0</v>
      </c>
      <c r="N100" s="354">
        <v>0</v>
      </c>
      <c r="O100" s="354">
        <v>0</v>
      </c>
    </row>
    <row r="101" spans="2:15">
      <c r="B101" s="283" t="s">
        <v>759</v>
      </c>
      <c r="C101" s="272" t="s">
        <v>816</v>
      </c>
      <c r="D101" s="159" t="str">
        <f>$C$101</f>
        <v>最高33.61%，最低20.62%</v>
      </c>
      <c r="E101" s="287"/>
      <c r="H101" s="64">
        <v>29</v>
      </c>
      <c r="I101" s="355">
        <v>300</v>
      </c>
      <c r="J101" s="64"/>
      <c r="K101" s="64"/>
      <c r="L101" s="354">
        <v>1000</v>
      </c>
      <c r="M101" s="354">
        <v>0</v>
      </c>
      <c r="N101" s="354">
        <v>0</v>
      </c>
      <c r="O101" s="354">
        <v>0</v>
      </c>
    </row>
    <row r="102" spans="2:15">
      <c r="B102" s="54"/>
      <c r="C102" s="272"/>
      <c r="D102" s="159">
        <f>$C$102</f>
        <v>0</v>
      </c>
      <c r="E102" s="287"/>
      <c r="H102" s="64">
        <v>30</v>
      </c>
      <c r="I102" s="355">
        <v>300</v>
      </c>
      <c r="J102" s="64"/>
      <c r="K102" s="64"/>
      <c r="L102" s="354">
        <v>1000</v>
      </c>
      <c r="M102" s="354">
        <v>0</v>
      </c>
      <c r="N102" s="354">
        <v>0</v>
      </c>
      <c r="O102" s="354">
        <v>0</v>
      </c>
    </row>
    <row r="103" spans="2:15">
      <c r="B103" s="290"/>
      <c r="C103" s="291"/>
      <c r="D103" s="64"/>
      <c r="E103" s="64"/>
      <c r="H103" s="64">
        <v>31</v>
      </c>
      <c r="I103" s="355">
        <v>300</v>
      </c>
      <c r="J103" s="64"/>
      <c r="K103" s="64"/>
      <c r="L103" s="354">
        <v>1000</v>
      </c>
      <c r="M103" s="354">
        <v>0</v>
      </c>
      <c r="N103" s="354">
        <v>0</v>
      </c>
      <c r="O103" s="354">
        <v>0</v>
      </c>
    </row>
    <row r="104" spans="2:15">
      <c r="B104" s="290"/>
      <c r="C104" s="291"/>
      <c r="D104" s="64"/>
      <c r="E104" s="64"/>
      <c r="H104" s="64">
        <v>32</v>
      </c>
      <c r="I104" s="355">
        <v>300</v>
      </c>
      <c r="J104" s="64"/>
      <c r="K104" s="64"/>
      <c r="L104" s="354">
        <v>1000</v>
      </c>
      <c r="M104" s="354">
        <v>0</v>
      </c>
      <c r="N104" s="354">
        <v>0</v>
      </c>
      <c r="O104" s="354">
        <v>0</v>
      </c>
    </row>
    <row r="105" spans="2:15">
      <c r="B105" s="283" t="s">
        <v>326</v>
      </c>
      <c r="C105" s="272" t="s">
        <v>327</v>
      </c>
      <c r="D105" s="159" t="str">
        <f ca="1">IF($C$105="停售","停售-","")&amp;OP!$C$54&amp;" 試算日："&amp;TEXT(YEAR(OP!$C$3)-1911,"000")&amp;TEXT(MONTH(OP!$C$3),"00")&amp;TEXT(DAY(OP!$C$3),"00")</f>
        <v>V1.1-1150409 試算日：1150805</v>
      </c>
      <c r="E105" s="64"/>
      <c r="H105" s="64">
        <v>33</v>
      </c>
      <c r="I105" s="355">
        <v>300</v>
      </c>
      <c r="J105" s="64"/>
      <c r="K105" s="64"/>
      <c r="L105" s="354">
        <v>1000</v>
      </c>
      <c r="M105" s="354">
        <v>0</v>
      </c>
      <c r="N105" s="354">
        <v>0</v>
      </c>
      <c r="O105" s="354">
        <v>0</v>
      </c>
    </row>
    <row r="106" spans="2:15">
      <c r="B106" s="283" t="s">
        <v>328</v>
      </c>
      <c r="C106" s="292" t="s">
        <v>500</v>
      </c>
      <c r="D106" s="292" t="str">
        <f>$C$106</f>
        <v xml:space="preserve"> ※本契約條款樣張須於訂立契約前提供要保人至少三日審閱期間</v>
      </c>
      <c r="E106" s="287"/>
      <c r="H106" s="64">
        <v>34</v>
      </c>
      <c r="I106" s="355">
        <v>300</v>
      </c>
      <c r="J106" s="64"/>
      <c r="K106" s="64"/>
      <c r="L106" s="354">
        <v>1000</v>
      </c>
      <c r="M106" s="354">
        <v>0</v>
      </c>
      <c r="N106" s="354">
        <v>0</v>
      </c>
      <c r="O106" s="354">
        <v>0</v>
      </c>
    </row>
    <row r="107" spans="2:15">
      <c r="B107" s="283" t="s">
        <v>329</v>
      </c>
      <c r="C107" s="292" t="s">
        <v>768</v>
      </c>
      <c r="D107" s="286" t="str">
        <f>$C$107</f>
        <v>本建議書僅供參考，詳細商品內容及其變更，應以投保當時保單條款內容及本公司核保、保全作業規定為準</v>
      </c>
      <c r="E107" s="287"/>
      <c r="H107" s="64">
        <v>35</v>
      </c>
      <c r="I107" s="355">
        <v>300</v>
      </c>
      <c r="J107" s="64"/>
      <c r="K107" s="64"/>
      <c r="L107" s="354">
        <v>1000</v>
      </c>
      <c r="M107" s="354">
        <v>0</v>
      </c>
      <c r="N107" s="354">
        <v>0</v>
      </c>
      <c r="O107" s="354">
        <v>0</v>
      </c>
    </row>
    <row r="108" spans="2:15">
      <c r="B108" s="283"/>
      <c r="C108" s="54"/>
      <c r="D108" s="289"/>
      <c r="E108" s="287"/>
      <c r="H108" s="64">
        <v>36</v>
      </c>
      <c r="I108" s="355">
        <v>300</v>
      </c>
      <c r="J108" s="64"/>
      <c r="K108" s="64"/>
      <c r="L108" s="354">
        <v>1000</v>
      </c>
      <c r="M108" s="354">
        <v>0</v>
      </c>
      <c r="N108" s="354">
        <v>0</v>
      </c>
      <c r="O108" s="354">
        <v>0</v>
      </c>
    </row>
    <row r="109" spans="2:15">
      <c r="B109" s="283"/>
      <c r="C109" s="54"/>
      <c r="D109" s="289"/>
      <c r="E109" s="287"/>
      <c r="H109" s="64">
        <v>37</v>
      </c>
      <c r="I109" s="355">
        <v>300</v>
      </c>
      <c r="J109" s="64"/>
      <c r="K109" s="64"/>
      <c r="L109" s="354">
        <v>1000</v>
      </c>
      <c r="M109" s="354">
        <v>0</v>
      </c>
      <c r="N109" s="354">
        <v>0</v>
      </c>
      <c r="O109" s="354">
        <v>0</v>
      </c>
    </row>
    <row r="110" spans="2:15">
      <c r="B110" s="283"/>
      <c r="C110" s="288"/>
      <c r="D110" s="289"/>
      <c r="E110" s="287"/>
      <c r="H110" s="64">
        <v>38</v>
      </c>
      <c r="I110" s="355">
        <v>300</v>
      </c>
      <c r="J110" s="64"/>
      <c r="K110" s="64"/>
      <c r="L110" s="354">
        <v>1000</v>
      </c>
      <c r="M110" s="354">
        <v>0</v>
      </c>
      <c r="N110" s="354">
        <v>0</v>
      </c>
      <c r="O110" s="354">
        <v>0</v>
      </c>
    </row>
    <row r="111" spans="2:15">
      <c r="B111"/>
      <c r="C111" s="279"/>
      <c r="H111" s="64">
        <v>39</v>
      </c>
      <c r="I111" s="355">
        <v>300</v>
      </c>
      <c r="J111" s="64"/>
      <c r="K111" s="64"/>
      <c r="L111" s="354">
        <v>1000</v>
      </c>
      <c r="M111" s="354">
        <v>0</v>
      </c>
      <c r="N111" s="354">
        <v>0</v>
      </c>
      <c r="O111" s="354">
        <v>0</v>
      </c>
    </row>
    <row r="112" spans="2:15">
      <c r="B112" s="293" t="s">
        <v>330</v>
      </c>
      <c r="C112" s="281" t="s">
        <v>315</v>
      </c>
      <c r="D112" s="282" t="s">
        <v>316</v>
      </c>
      <c r="E112" s="67" t="s">
        <v>317</v>
      </c>
      <c r="H112" s="64">
        <v>40</v>
      </c>
      <c r="I112" s="355">
        <v>300</v>
      </c>
      <c r="J112" s="64"/>
      <c r="K112" s="64"/>
      <c r="L112" s="354">
        <v>1000</v>
      </c>
      <c r="M112" s="354">
        <v>0</v>
      </c>
      <c r="N112" s="354">
        <v>0</v>
      </c>
      <c r="O112" s="354">
        <v>0</v>
      </c>
    </row>
    <row r="113" spans="2:15">
      <c r="B113" s="283" t="s">
        <v>331</v>
      </c>
      <c r="C113" s="64"/>
      <c r="D113" s="64" t="str">
        <f ca="1">IF(OP!$D$5&lt;15,IF(OP!$C$24=1,"16歲前限儲存生息","16歲前限抵繳保費後儲存生息"),"")</f>
        <v/>
      </c>
      <c r="E113" s="64"/>
      <c r="H113" s="64">
        <v>41</v>
      </c>
      <c r="I113" s="355">
        <v>300</v>
      </c>
      <c r="J113" s="64"/>
      <c r="K113" s="64"/>
      <c r="L113" s="354">
        <v>600</v>
      </c>
      <c r="M113" s="354">
        <v>0</v>
      </c>
      <c r="N113" s="354">
        <v>0</v>
      </c>
      <c r="O113" s="354">
        <v>0</v>
      </c>
    </row>
    <row r="114" spans="2:15">
      <c r="B114" s="283" t="s">
        <v>332</v>
      </c>
      <c r="C114" s="294"/>
      <c r="D114" s="64" t="str">
        <f ca="1">IF(OP!$D$5&lt;15,"16歲前無保額以年度增值回饋分享金加總顯示","")</f>
        <v/>
      </c>
      <c r="E114" s="64"/>
      <c r="H114" s="64">
        <v>42</v>
      </c>
      <c r="I114" s="355">
        <v>300</v>
      </c>
      <c r="J114" s="64"/>
      <c r="K114" s="64"/>
      <c r="L114" s="354">
        <v>600</v>
      </c>
      <c r="M114" s="354">
        <v>0</v>
      </c>
      <c r="N114" s="354">
        <v>0</v>
      </c>
      <c r="O114" s="354">
        <v>0</v>
      </c>
    </row>
    <row r="115" spans="2:15">
      <c r="B115" s="283" t="s">
        <v>333</v>
      </c>
      <c r="C115" s="294"/>
      <c r="D115" s="64" t="str">
        <f ca="1">IF(OP!$D$5&lt;15,"16歲前無保額以累計年度增值回饋分享金顯示","")</f>
        <v/>
      </c>
      <c r="E115" s="64"/>
      <c r="H115" s="64">
        <v>43</v>
      </c>
      <c r="I115" s="355">
        <v>300</v>
      </c>
      <c r="J115" s="64"/>
      <c r="K115" s="64"/>
      <c r="L115" s="354">
        <v>600</v>
      </c>
      <c r="M115" s="354">
        <v>0</v>
      </c>
      <c r="N115" s="354">
        <v>0</v>
      </c>
      <c r="O115" s="354">
        <v>0</v>
      </c>
    </row>
    <row r="116" spans="2:15">
      <c r="B116" s="283"/>
      <c r="C116" s="294"/>
      <c r="D116" s="64"/>
      <c r="E116" s="64"/>
      <c r="H116" s="64">
        <v>44</v>
      </c>
      <c r="I116" s="355">
        <v>300</v>
      </c>
      <c r="J116" s="64"/>
      <c r="K116" s="64"/>
      <c r="L116" s="354">
        <v>600</v>
      </c>
      <c r="M116" s="354">
        <v>0</v>
      </c>
      <c r="N116" s="354">
        <v>0</v>
      </c>
      <c r="O116" s="354">
        <v>0</v>
      </c>
    </row>
    <row r="117" spans="2:15">
      <c r="B117" s="283"/>
      <c r="C117" s="294"/>
      <c r="D117" s="64"/>
      <c r="E117" s="64"/>
      <c r="H117" s="64">
        <v>45</v>
      </c>
      <c r="I117" s="355">
        <v>300</v>
      </c>
      <c r="J117" s="64"/>
      <c r="K117" s="64"/>
      <c r="L117" s="354">
        <v>600</v>
      </c>
      <c r="M117" s="354">
        <v>0</v>
      </c>
      <c r="N117" s="354">
        <v>0</v>
      </c>
      <c r="O117" s="354">
        <v>0</v>
      </c>
    </row>
    <row r="118" spans="2:15">
      <c r="B118" s="54"/>
      <c r="C118" s="294"/>
      <c r="D118" s="64"/>
      <c r="E118" s="64"/>
      <c r="H118" s="64">
        <v>46</v>
      </c>
      <c r="I118" s="355">
        <v>300</v>
      </c>
      <c r="J118" s="64"/>
      <c r="K118" s="64"/>
      <c r="L118" s="354">
        <v>600</v>
      </c>
      <c r="M118" s="354">
        <v>0</v>
      </c>
      <c r="N118" s="354">
        <v>0</v>
      </c>
      <c r="O118" s="354">
        <v>0</v>
      </c>
    </row>
    <row r="119" spans="2:15">
      <c r="H119" s="64">
        <v>47</v>
      </c>
      <c r="I119" s="355">
        <v>300</v>
      </c>
      <c r="J119" s="64"/>
      <c r="K119" s="64"/>
      <c r="L119" s="354">
        <v>600</v>
      </c>
      <c r="M119" s="354">
        <v>0</v>
      </c>
      <c r="N119" s="354">
        <v>0</v>
      </c>
      <c r="O119" s="354">
        <v>0</v>
      </c>
    </row>
    <row r="120" spans="2:15">
      <c r="B120" s="280" t="s">
        <v>334</v>
      </c>
      <c r="C120" s="281" t="s">
        <v>315</v>
      </c>
      <c r="D120" s="282" t="s">
        <v>316</v>
      </c>
      <c r="E120" s="67" t="s">
        <v>317</v>
      </c>
      <c r="H120" s="64">
        <v>48</v>
      </c>
      <c r="I120" s="355">
        <v>300</v>
      </c>
      <c r="J120" s="64"/>
      <c r="K120" s="64"/>
      <c r="L120" s="354">
        <v>600</v>
      </c>
      <c r="M120" s="354">
        <v>0</v>
      </c>
      <c r="N120" s="354">
        <v>0</v>
      </c>
      <c r="O120" s="354">
        <v>0</v>
      </c>
    </row>
    <row r="121" spans="2:15">
      <c r="B121" s="283" t="s">
        <v>335</v>
      </c>
      <c r="C121" s="54"/>
      <c r="D121" s="295" t="str">
        <f ca="1">TEXT(YEAR(OP!$C$3)-1911,"000")&amp;TEXT(MONTH(OP!$C$3),"00")&amp;TEXT(DAY(OP!$C$3),"00")</f>
        <v>1150805</v>
      </c>
      <c r="E121" s="64"/>
      <c r="H121" s="64">
        <v>49</v>
      </c>
      <c r="I121" s="355">
        <v>300</v>
      </c>
      <c r="J121" s="64"/>
      <c r="K121" s="64"/>
      <c r="L121" s="354">
        <v>600</v>
      </c>
      <c r="M121" s="354">
        <v>0</v>
      </c>
      <c r="N121" s="354">
        <v>0</v>
      </c>
      <c r="O121" s="354">
        <v>0</v>
      </c>
    </row>
    <row r="122" spans="2:15">
      <c r="B122" s="283" t="s">
        <v>336</v>
      </c>
      <c r="C122" s="292" t="s">
        <v>337</v>
      </c>
      <c r="D122" s="292" t="str">
        <f ca="1">IF($D$6&lt;15,$C$122,"")</f>
        <v/>
      </c>
      <c r="E122" s="64"/>
      <c r="H122" s="64">
        <v>50</v>
      </c>
      <c r="I122" s="355">
        <v>300</v>
      </c>
      <c r="J122" s="64"/>
      <c r="K122" s="64"/>
      <c r="L122" s="354">
        <v>600</v>
      </c>
      <c r="M122" s="354">
        <v>0</v>
      </c>
      <c r="N122" s="354">
        <v>0</v>
      </c>
      <c r="O122" s="354">
        <v>0</v>
      </c>
    </row>
    <row r="123" spans="2:15">
      <c r="B123" s="54"/>
      <c r="C123" s="288"/>
      <c r="D123" s="64"/>
      <c r="E123" s="64"/>
      <c r="H123" s="64">
        <v>51</v>
      </c>
      <c r="I123" s="355">
        <v>300</v>
      </c>
      <c r="J123" s="64"/>
      <c r="K123" s="64"/>
      <c r="L123" s="354">
        <v>300</v>
      </c>
      <c r="M123" s="354">
        <v>0</v>
      </c>
      <c r="N123" s="354">
        <v>0</v>
      </c>
      <c r="O123" s="354">
        <v>0</v>
      </c>
    </row>
    <row r="124" spans="2:15">
      <c r="B124" s="54"/>
      <c r="C124" s="54"/>
      <c r="D124" s="64"/>
      <c r="E124" s="64"/>
      <c r="H124" s="64">
        <v>52</v>
      </c>
      <c r="I124" s="355">
        <v>300</v>
      </c>
      <c r="J124" s="64"/>
      <c r="K124" s="64"/>
      <c r="L124" s="354">
        <v>300</v>
      </c>
      <c r="M124" s="354">
        <v>0</v>
      </c>
      <c r="N124" s="354">
        <v>0</v>
      </c>
      <c r="O124" s="354">
        <v>0</v>
      </c>
    </row>
    <row r="125" spans="2:15">
      <c r="B125"/>
      <c r="C125" s="279"/>
      <c r="H125" s="64">
        <v>53</v>
      </c>
      <c r="I125" s="355">
        <v>300</v>
      </c>
      <c r="J125" s="64"/>
      <c r="K125" s="64"/>
      <c r="L125" s="354">
        <v>300</v>
      </c>
      <c r="M125" s="354">
        <v>0</v>
      </c>
      <c r="N125" s="354">
        <v>0</v>
      </c>
      <c r="O125" s="354">
        <v>0</v>
      </c>
    </row>
    <row r="126" spans="2:15">
      <c r="B126" s="280" t="s">
        <v>338</v>
      </c>
      <c r="C126" s="281" t="s">
        <v>315</v>
      </c>
      <c r="D126" s="282" t="s">
        <v>316</v>
      </c>
      <c r="E126" s="67" t="s">
        <v>317</v>
      </c>
      <c r="H126" s="64">
        <v>54</v>
      </c>
      <c r="I126" s="355">
        <v>300</v>
      </c>
      <c r="J126" s="64"/>
      <c r="K126" s="64"/>
      <c r="L126" s="354">
        <v>300</v>
      </c>
      <c r="M126" s="354">
        <v>0</v>
      </c>
      <c r="N126" s="354">
        <v>0</v>
      </c>
      <c r="O126" s="354">
        <v>0</v>
      </c>
    </row>
    <row r="127" spans="2:15">
      <c r="B127" s="283" t="s">
        <v>339</v>
      </c>
      <c r="D127" s="292" t="s">
        <v>340</v>
      </c>
      <c r="E127" s="287"/>
      <c r="H127" s="64">
        <v>55</v>
      </c>
      <c r="I127" s="355">
        <v>300</v>
      </c>
      <c r="J127" s="64"/>
      <c r="K127" s="64"/>
      <c r="L127" s="354">
        <v>300</v>
      </c>
      <c r="M127" s="354">
        <v>0</v>
      </c>
      <c r="N127" s="354">
        <v>0</v>
      </c>
      <c r="O127" s="354">
        <v>0</v>
      </c>
    </row>
    <row r="128" spans="2:15">
      <c r="B128" s="54"/>
      <c r="C128" s="288"/>
      <c r="D128" s="289"/>
      <c r="E128" s="287"/>
      <c r="H128" s="64">
        <v>56</v>
      </c>
      <c r="I128" s="355">
        <v>300</v>
      </c>
      <c r="J128" s="64"/>
      <c r="K128" s="64"/>
      <c r="L128" s="354">
        <v>300</v>
      </c>
      <c r="M128" s="354">
        <v>0</v>
      </c>
      <c r="N128" s="354">
        <v>0</v>
      </c>
      <c r="O128" s="354">
        <v>0</v>
      </c>
    </row>
    <row r="129" spans="2:15">
      <c r="B129" s="54"/>
      <c r="C129" s="288"/>
      <c r="D129" s="289"/>
      <c r="E129" s="287"/>
      <c r="H129" s="64">
        <v>57</v>
      </c>
      <c r="I129" s="355">
        <v>300</v>
      </c>
      <c r="J129" s="64"/>
      <c r="K129" s="64"/>
      <c r="L129" s="354">
        <v>300</v>
      </c>
      <c r="M129" s="354">
        <v>0</v>
      </c>
      <c r="N129" s="354">
        <v>0</v>
      </c>
      <c r="O129" s="354">
        <v>0</v>
      </c>
    </row>
    <row r="130" spans="2:15">
      <c r="B130" s="54"/>
      <c r="C130" s="54"/>
      <c r="D130" s="289"/>
      <c r="E130" s="287"/>
      <c r="H130" s="64">
        <v>58</v>
      </c>
      <c r="I130" s="355">
        <v>300</v>
      </c>
      <c r="J130" s="64"/>
      <c r="K130" s="64"/>
      <c r="L130" s="354">
        <v>300</v>
      </c>
      <c r="M130" s="354">
        <v>0</v>
      </c>
      <c r="N130" s="354">
        <v>0</v>
      </c>
      <c r="O130" s="354">
        <v>0</v>
      </c>
    </row>
    <row r="131" spans="2:15">
      <c r="B131"/>
      <c r="C131" s="279"/>
      <c r="H131" s="64">
        <v>59</v>
      </c>
      <c r="I131" s="355">
        <v>300</v>
      </c>
      <c r="J131" s="64"/>
      <c r="K131" s="64"/>
      <c r="L131" s="354">
        <v>300</v>
      </c>
      <c r="M131" s="354">
        <v>0</v>
      </c>
      <c r="N131" s="354">
        <v>0</v>
      </c>
      <c r="O131" s="354">
        <v>0</v>
      </c>
    </row>
    <row r="132" spans="2:15">
      <c r="B132" s="280" t="s">
        <v>341</v>
      </c>
      <c r="C132" s="281" t="s">
        <v>315</v>
      </c>
      <c r="D132" s="282" t="s">
        <v>316</v>
      </c>
      <c r="E132" s="67" t="s">
        <v>317</v>
      </c>
      <c r="H132" s="64">
        <v>60</v>
      </c>
      <c r="I132" s="355">
        <v>300</v>
      </c>
      <c r="J132" s="64"/>
      <c r="K132" s="64"/>
      <c r="L132" s="354">
        <v>300</v>
      </c>
      <c r="M132" s="354">
        <v>0</v>
      </c>
      <c r="N132" s="354">
        <v>0</v>
      </c>
      <c r="O132" s="354">
        <v>0</v>
      </c>
    </row>
    <row r="133" spans="2:15">
      <c r="B133" s="283" t="s">
        <v>342</v>
      </c>
      <c r="C133" s="296">
        <f ca="1">VLOOKUP(OP!$C$55,EXP,OP!$C$57+1,0)*OP!$C$28</f>
        <v>742000</v>
      </c>
      <c r="D133" s="292" t="str">
        <f ca="1">$B$133&amp;TEXT($C$133,"#,##0 元")</f>
        <v>祝壽保險金：742,000 元</v>
      </c>
      <c r="E133" s="287"/>
      <c r="H133" s="64">
        <v>61</v>
      </c>
      <c r="I133" s="355"/>
      <c r="J133" s="64"/>
      <c r="K133" s="64"/>
      <c r="L133" s="354">
        <v>100</v>
      </c>
      <c r="M133" s="354">
        <v>0</v>
      </c>
      <c r="N133" s="354">
        <v>0</v>
      </c>
      <c r="O133" s="354">
        <v>0</v>
      </c>
    </row>
    <row r="134" spans="2:15">
      <c r="B134" s="283" t="s">
        <v>343</v>
      </c>
      <c r="C134" s="296"/>
      <c r="D134" s="292" t="str">
        <f>$B$134&amp;TEXT($C$134,"#,##0 元")</f>
        <v>增額繳清保險金額祝壽保險金：0 元</v>
      </c>
      <c r="E134" s="287"/>
      <c r="H134" s="64">
        <v>62</v>
      </c>
      <c r="I134" s="355"/>
      <c r="J134" s="64"/>
      <c r="K134" s="64"/>
      <c r="L134" s="354">
        <v>100</v>
      </c>
      <c r="M134" s="354">
        <v>0</v>
      </c>
      <c r="N134" s="354">
        <v>0</v>
      </c>
      <c r="O134" s="354">
        <v>0</v>
      </c>
    </row>
    <row r="135" spans="2:15">
      <c r="B135" s="283" t="s">
        <v>344</v>
      </c>
      <c r="C135" s="296">
        <f ca="1">$C$133+$C$134</f>
        <v>742000</v>
      </c>
      <c r="D135" s="292" t="str">
        <f ca="1">$B$135&amp;TEXT($C$135,"#,##0 元")</f>
        <v>總保險金額祝壽保險金：742,000 元</v>
      </c>
      <c r="E135" s="287"/>
      <c r="H135" s="64">
        <v>63</v>
      </c>
      <c r="I135" s="355"/>
      <c r="J135" s="64"/>
      <c r="K135" s="64"/>
      <c r="L135" s="354">
        <v>100</v>
      </c>
      <c r="M135" s="354">
        <v>0</v>
      </c>
      <c r="N135" s="354">
        <v>0</v>
      </c>
      <c r="O135" s="354">
        <v>0</v>
      </c>
    </row>
    <row r="136" spans="2:15">
      <c r="B136" s="54"/>
      <c r="C136" s="291"/>
      <c r="D136" s="297"/>
      <c r="E136" s="287"/>
      <c r="H136" s="64">
        <v>64</v>
      </c>
      <c r="I136" s="355"/>
      <c r="J136" s="64"/>
      <c r="K136" s="64"/>
      <c r="L136" s="354">
        <v>100</v>
      </c>
      <c r="M136" s="354">
        <v>0</v>
      </c>
      <c r="N136" s="354">
        <v>0</v>
      </c>
      <c r="O136" s="354">
        <v>0</v>
      </c>
    </row>
    <row r="137" spans="2:15">
      <c r="B137" s="54"/>
      <c r="C137" s="291"/>
      <c r="D137" s="297"/>
      <c r="E137" s="287"/>
      <c r="H137" s="64">
        <v>65</v>
      </c>
      <c r="I137" s="355"/>
      <c r="J137" s="64"/>
      <c r="K137" s="64"/>
      <c r="L137" s="354">
        <v>100</v>
      </c>
      <c r="M137" s="354">
        <v>0</v>
      </c>
      <c r="N137" s="354">
        <v>0</v>
      </c>
      <c r="O137" s="354">
        <v>0</v>
      </c>
    </row>
    <row r="138" spans="2:15">
      <c r="B138" s="54"/>
      <c r="C138" s="291"/>
      <c r="D138" s="64"/>
      <c r="E138" s="287"/>
      <c r="H138" s="64">
        <v>66</v>
      </c>
      <c r="I138" s="355"/>
      <c r="J138" s="64"/>
      <c r="K138" s="64"/>
      <c r="L138" s="354">
        <v>100</v>
      </c>
      <c r="M138" s="354">
        <v>0</v>
      </c>
      <c r="N138" s="354">
        <v>0</v>
      </c>
      <c r="O138" s="354">
        <v>0</v>
      </c>
    </row>
    <row r="139" spans="2:15">
      <c r="H139" s="64">
        <v>67</v>
      </c>
      <c r="I139" s="355"/>
      <c r="J139" s="64"/>
      <c r="K139" s="64"/>
      <c r="L139" s="354">
        <v>100</v>
      </c>
      <c r="M139" s="354">
        <v>0</v>
      </c>
      <c r="N139" s="354">
        <v>0</v>
      </c>
      <c r="O139" s="354">
        <v>0</v>
      </c>
    </row>
    <row r="140" spans="2:15">
      <c r="H140" s="64">
        <v>68</v>
      </c>
      <c r="I140" s="355"/>
      <c r="J140" s="64"/>
      <c r="K140" s="64"/>
      <c r="L140" s="354">
        <v>100</v>
      </c>
      <c r="M140" s="354">
        <v>0</v>
      </c>
      <c r="N140" s="354">
        <v>0</v>
      </c>
      <c r="O140" s="354">
        <v>0</v>
      </c>
    </row>
    <row r="141" spans="2:15">
      <c r="H141" s="64">
        <v>69</v>
      </c>
      <c r="I141" s="355"/>
      <c r="J141" s="64"/>
      <c r="K141" s="64"/>
      <c r="L141" s="354">
        <v>100</v>
      </c>
      <c r="M141" s="354">
        <v>0</v>
      </c>
      <c r="N141" s="354">
        <v>0</v>
      </c>
      <c r="O141" s="354">
        <v>0</v>
      </c>
    </row>
    <row r="142" spans="2:15">
      <c r="H142" s="64">
        <v>70</v>
      </c>
      <c r="I142" s="355"/>
      <c r="J142" s="64"/>
      <c r="K142" s="64"/>
      <c r="L142" s="354">
        <v>100</v>
      </c>
      <c r="M142" s="354">
        <v>0</v>
      </c>
      <c r="N142" s="354">
        <v>0</v>
      </c>
      <c r="O142" s="354">
        <v>0</v>
      </c>
    </row>
    <row r="143" spans="2:15">
      <c r="H143" s="64">
        <v>71</v>
      </c>
      <c r="I143" s="355"/>
      <c r="J143" s="64"/>
      <c r="K143" s="64"/>
      <c r="L143" s="354">
        <v>0</v>
      </c>
      <c r="M143" s="354">
        <v>0</v>
      </c>
      <c r="N143" s="354">
        <v>0</v>
      </c>
      <c r="O143" s="354">
        <v>0</v>
      </c>
    </row>
    <row r="144" spans="2:15">
      <c r="H144" s="64">
        <v>72</v>
      </c>
      <c r="I144" s="355"/>
      <c r="J144" s="64"/>
      <c r="K144" s="64"/>
      <c r="L144" s="354">
        <v>0</v>
      </c>
      <c r="M144" s="354">
        <v>0</v>
      </c>
      <c r="N144" s="354">
        <v>0</v>
      </c>
      <c r="O144" s="354">
        <v>0</v>
      </c>
    </row>
    <row r="145" spans="2:15">
      <c r="H145" s="64">
        <v>73</v>
      </c>
      <c r="I145" s="355"/>
      <c r="J145" s="64"/>
      <c r="K145" s="64"/>
      <c r="L145" s="354">
        <v>0</v>
      </c>
      <c r="M145" s="354">
        <v>0</v>
      </c>
      <c r="N145" s="354">
        <v>0</v>
      </c>
      <c r="O145" s="354">
        <v>0</v>
      </c>
    </row>
    <row r="146" spans="2:15">
      <c r="H146" s="64">
        <v>74</v>
      </c>
      <c r="I146" s="355"/>
      <c r="J146" s="64"/>
      <c r="K146" s="64"/>
      <c r="L146" s="354">
        <v>0</v>
      </c>
      <c r="M146" s="354">
        <v>0</v>
      </c>
      <c r="N146" s="354">
        <v>0</v>
      </c>
      <c r="O146" s="354">
        <v>0</v>
      </c>
    </row>
    <row r="147" spans="2:15">
      <c r="H147" s="64">
        <v>75</v>
      </c>
      <c r="I147" s="355"/>
      <c r="J147" s="64"/>
      <c r="K147" s="64"/>
      <c r="L147" s="354">
        <v>0</v>
      </c>
      <c r="M147" s="354"/>
      <c r="N147" s="354"/>
      <c r="O147" s="354"/>
    </row>
    <row r="148" spans="2:15">
      <c r="H148" s="64">
        <v>76</v>
      </c>
      <c r="I148" s="355"/>
      <c r="J148" s="64"/>
      <c r="K148" s="64"/>
      <c r="L148" s="354">
        <v>0</v>
      </c>
      <c r="M148" s="354"/>
      <c r="N148" s="354"/>
      <c r="O148" s="354"/>
    </row>
    <row r="149" spans="2:15">
      <c r="H149" s="64">
        <v>77</v>
      </c>
      <c r="I149" s="355"/>
      <c r="J149" s="64"/>
      <c r="K149" s="64"/>
      <c r="L149" s="354">
        <v>0</v>
      </c>
      <c r="M149" s="354"/>
      <c r="N149" s="354"/>
      <c r="O149" s="354"/>
    </row>
    <row r="150" spans="2:15" ht="16">
      <c r="B150" s="2" t="s">
        <v>345</v>
      </c>
      <c r="C150" s="1">
        <f>IF($E$150="同被保險人",$C$73,輸入頁!$E$13)</f>
        <v>0</v>
      </c>
      <c r="E150" s="298" t="str">
        <f>輸入頁!$E$12</f>
        <v>與被保險人不同</v>
      </c>
      <c r="H150" s="64">
        <v>78</v>
      </c>
      <c r="I150" s="355"/>
      <c r="J150" s="64"/>
      <c r="K150" s="64"/>
      <c r="L150" s="354">
        <v>0</v>
      </c>
      <c r="M150" s="354"/>
      <c r="N150" s="354"/>
      <c r="O150" s="354"/>
    </row>
    <row r="151" spans="2:15">
      <c r="B151" s="277" t="s">
        <v>346</v>
      </c>
      <c r="C151" s="277" t="s">
        <v>347</v>
      </c>
      <c r="D151" s="277" t="s">
        <v>348</v>
      </c>
      <c r="E151" s="277" t="s">
        <v>349</v>
      </c>
      <c r="H151" s="64">
        <v>79</v>
      </c>
      <c r="I151" s="355"/>
      <c r="J151" s="64"/>
      <c r="K151" s="64"/>
      <c r="L151" s="354">
        <v>0</v>
      </c>
      <c r="M151" s="354"/>
      <c r="N151" s="354"/>
      <c r="O151" s="354"/>
    </row>
    <row r="152" spans="2:15">
      <c r="B152" s="277">
        <f>IF(C153=0,0,VALUE(MID(C153,IF(LEN(C153)=7,4,3),2)))</f>
        <v>0</v>
      </c>
      <c r="C152" s="299">
        <f ca="1">$C$3</f>
        <v>46239</v>
      </c>
      <c r="D152" s="299">
        <f>IF(C153=0,0,DATE(LEFT(C153,IF(LEN(C153)=7,3,2))+1911,MID(C153,IF(LEN(C153)=7,4,3),2),RIGHT(C153,2)))</f>
        <v>0</v>
      </c>
      <c r="E152" s="300">
        <f>IF(E153=1,0,IF(OR(B152=1,B152=3,B152=5,B152=7,B152=8,B152=10,B152=12),31,IF(OR(B152=4,B152=6,B152=9,B152=11),30,IF(AND(B152=2,YEAR(D152)/4=INT(YEAR(D152)/4),YEAR(D152)/400&lt;&gt;INT(YEAR(D152)/400)),29,28))))</f>
        <v>0</v>
      </c>
      <c r="H152" s="64">
        <v>80</v>
      </c>
      <c r="I152" s="355"/>
      <c r="J152" s="64"/>
      <c r="K152" s="64"/>
      <c r="L152" s="354">
        <v>0</v>
      </c>
      <c r="M152" s="354"/>
      <c r="N152" s="354"/>
      <c r="O152" s="354"/>
    </row>
    <row r="153" spans="2:15">
      <c r="B153" s="277" t="s">
        <v>348</v>
      </c>
      <c r="C153" s="300">
        <f>IF(輸入頁!$E$12="同被保險人",$C$10,輸入頁!$E$14)</f>
        <v>0</v>
      </c>
      <c r="D153" s="301"/>
      <c r="E153" s="277">
        <f>IF(OR(B152&lt;1,B152&gt;12),1,"")</f>
        <v>1</v>
      </c>
    </row>
    <row r="154" spans="2:15">
      <c r="B154" s="277" t="s">
        <v>350</v>
      </c>
      <c r="C154" s="302" t="s">
        <v>351</v>
      </c>
      <c r="D154" s="302">
        <f>IF(SUM(E155)&gt;=1,0,IF(D152&gt;C152,0,IF(MONTH(C152)&lt;B152,IF(OR(MONTH(C152)+12-B152&gt;6,AND(MONTH(C152)+12-B152=6,DAY(C152)&gt;DAY(D152))),YEAR(C152)-1-YEAR(D152)+1,IF(OR(MONTH(C152)+12-B152&lt;6,AND(MONTH(C152)+12-B152=6,DAY(C152)&lt;=DAY(D152))),YEAR(C152)-1-YEAR(D152))),IF(OR(MONTH(C152)-B152&gt;6,AND(MONTH(C152)-B152=6,DAY(C152)&gt;DAY(D152))),YEAR(C152)-YEAR(D152)+1,IF(OR(MONTH(C152)-B152&lt;=6,AND(MONTH(C152)-B152=6,DAY(C152)&lt;=DAY(D152))),YEAR(C152)-YEAR(D152),)))))</f>
        <v>0</v>
      </c>
      <c r="E154" s="277">
        <f>IF(OR(VALUE(RIGHT(C153,2))&lt;1,VALUE(RIGHT(C153,2))&gt;E152),1,"")</f>
        <v>1</v>
      </c>
    </row>
    <row r="155" spans="2:15">
      <c r="B155" s="303" t="str">
        <f ca="1">IF(OR(AND($E$155&lt;&gt;1,$D$154&gt;=$B$156+1),AND($E$6&lt;&gt;1,$D$5&gt;=$B$156+1),$D$159=1),"本件需進行錄音","")&amp;$B$157&amp;$B$158</f>
        <v/>
      </c>
      <c r="C155" s="302" t="s">
        <v>352</v>
      </c>
      <c r="D155" s="302" t="str">
        <f>IF(SUM(E155)&gt;=1,"生日格式錯誤",IF(D152&gt;C152,"被保險人未出生",DATEDIF(D152,C152,"y")))</f>
        <v>生日格式錯誤</v>
      </c>
      <c r="E155" s="304">
        <f>IF(OR(E153=1,E154=1),1,"")</f>
        <v>1</v>
      </c>
    </row>
    <row r="156" spans="2:15">
      <c r="B156" s="305">
        <f>IF(D158=0,100,64)</f>
        <v>100</v>
      </c>
      <c r="C156" s="305">
        <f>IF($D$158=0,0,((LEFT(TEXT(DATE(YEAR($C$3)-$B$156,MONTH($C$3)-6,DAY($C$3)-1),"yyyymmdd"),4)*1)-IF(LEN($C$10)=8,0,1911)&amp;TEXT(MID(TEXT(DATE(YEAR($C$3)-$B$156,MONTH($C$3)-6,DAY($C$3)-1),"yyyymmdd"),5,2),"00")&amp;TEXT(RIGHT(TEXT(DATE(YEAR($C$3)-$B$156,MONTH($C$3)-6,DAY($C$3)-1),"yyyymmdd"),2),"00"))*1)</f>
        <v>0</v>
      </c>
      <c r="D156" s="306" t="str">
        <f ca="1">TEXT(DATE(YEAR($C$3)-$B$156,MONTH($C$3)-6,DAY($C$3)),"yyyy/m/d")</f>
        <v>1926/2/5</v>
      </c>
      <c r="E156" s="256" t="str">
        <f>IF($E$69="一銀",IF(OR(AND($E$155&lt;&gt;1,$D$154&gt;=$B$156+1),AND($E$6&lt;&gt;1,$D$5&gt;=$B$156+1),$D$159=1),1,""),"")</f>
        <v/>
      </c>
    </row>
    <row r="157" spans="2:15">
      <c r="B157" s="54" t="str">
        <f ca="1">IF(AND(C153&gt;$C$156,$C$153&lt;=$E$157),"*請注意要保人將於"&amp;D152-D156+1&amp;"天後達"&amp;$B$156+1&amp;"歲*","")</f>
        <v/>
      </c>
      <c r="C157" s="54" t="s">
        <v>353</v>
      </c>
      <c r="D157" s="54">
        <v>7</v>
      </c>
      <c r="E157" s="64">
        <f ca="1">((LEFT(TEXT(DATE(YEAR($C$3)-$B$156,MONTH($C$3)-6,DAY($C$3)+$D$157),"yyyymmdd"),4)*1)-IF(LEN($C$10)=8,0,1911)&amp;TEXT(MID(TEXT(DATE(YEAR($C$3)-$B$156,MONTH($C$3)-6,DAY($C$3)+$D$157),"yyyymmdd"),5,2),"00")&amp;TEXT(RIGHT(TEXT(DATE(YEAR($C$3)-$B$156,MONTH($C$3)-6,DAY($C$3)+$D$157),"yyyymmdd"),2),"00"))*1</f>
        <v>150212</v>
      </c>
    </row>
    <row r="158" spans="2:15">
      <c r="B158" s="54" t="str">
        <f ca="1">IF(AND($C$4&gt;$C$156,$C$4&lt;=$E$157),"*請注意被保人將於"&amp;$D$3-$D$156+1&amp;"天後達"&amp;$B$156+1&amp;"歲*","")</f>
        <v/>
      </c>
      <c r="C158" s="54" t="s">
        <v>354</v>
      </c>
      <c r="D158" s="277">
        <f>IF($E$69&lt;&gt;"",1,0)</f>
        <v>0</v>
      </c>
      <c r="E158" s="64" t="s">
        <v>355</v>
      </c>
    </row>
    <row r="159" spans="2:15">
      <c r="B159" s="307" t="s">
        <v>356</v>
      </c>
      <c r="C159" s="307">
        <f>輸入頁!$O$14</f>
        <v>0</v>
      </c>
      <c r="D159" s="307" t="str">
        <f>IF(OR($D$158=0,$C$159=0,$C$159=""),"",IF($C$159*1&lt;=$C$156*1,1,""))</f>
        <v/>
      </c>
    </row>
    <row r="160" spans="2:15">
      <c r="B160" s="277" t="s">
        <v>357</v>
      </c>
      <c r="C160" s="308" t="s">
        <v>109</v>
      </c>
    </row>
    <row r="161" spans="2:3">
      <c r="B161"/>
      <c r="C161" s="122"/>
    </row>
    <row r="162" spans="2:3">
      <c r="B162"/>
      <c r="C162" s="122"/>
    </row>
    <row r="163" spans="2:3">
      <c r="B163"/>
      <c r="C163" s="122"/>
    </row>
    <row r="164" spans="2:3">
      <c r="B164"/>
      <c r="C164" s="122"/>
    </row>
    <row r="165" spans="2:3">
      <c r="B165"/>
      <c r="C165" s="122"/>
    </row>
    <row r="166" spans="2:3">
      <c r="B166"/>
      <c r="C166" s="122"/>
    </row>
    <row r="167" spans="2:3">
      <c r="B167"/>
      <c r="C167" s="122"/>
    </row>
    <row r="168" spans="2:3">
      <c r="B168"/>
      <c r="C168" s="122"/>
    </row>
    <row r="169" spans="2:3">
      <c r="B169"/>
      <c r="C169" s="122"/>
    </row>
    <row r="170" spans="2:3">
      <c r="B170"/>
      <c r="C170" s="122"/>
    </row>
    <row r="171" spans="2:3">
      <c r="B171"/>
      <c r="C171" s="122"/>
    </row>
    <row r="172" spans="2:3">
      <c r="B172"/>
      <c r="C172" s="122"/>
    </row>
    <row r="173" spans="2:3">
      <c r="B173"/>
      <c r="C173" s="122"/>
    </row>
    <row r="174" spans="2:3">
      <c r="B174"/>
      <c r="C174" s="122"/>
    </row>
    <row r="175" spans="2:3">
      <c r="B175"/>
      <c r="C175" s="122"/>
    </row>
    <row r="176" spans="2:3">
      <c r="B176"/>
      <c r="C176" s="122"/>
    </row>
    <row r="177" spans="2:3">
      <c r="B177"/>
      <c r="C177" s="122"/>
    </row>
    <row r="178" spans="2:3">
      <c r="B178"/>
      <c r="C178" s="122"/>
    </row>
    <row r="179" spans="2:3">
      <c r="B179"/>
      <c r="C179" s="122"/>
    </row>
    <row r="180" spans="2:3">
      <c r="B180"/>
      <c r="C180" s="122"/>
    </row>
    <row r="181" spans="2:3">
      <c r="B181"/>
      <c r="C181" s="122"/>
    </row>
    <row r="182" spans="2:3">
      <c r="B182"/>
      <c r="C182" s="122"/>
    </row>
    <row r="183" spans="2:3">
      <c r="B183"/>
      <c r="C183" s="122"/>
    </row>
    <row r="184" spans="2:3">
      <c r="B184"/>
      <c r="C184" s="122"/>
    </row>
    <row r="185" spans="2:3">
      <c r="B185"/>
      <c r="C185" s="122"/>
    </row>
    <row r="186" spans="2:3">
      <c r="B186"/>
      <c r="C186" s="122"/>
    </row>
    <row r="187" spans="2:3">
      <c r="B187"/>
      <c r="C187" s="122"/>
    </row>
    <row r="188" spans="2:3">
      <c r="B188"/>
      <c r="C188" s="122"/>
    </row>
    <row r="189" spans="2:3">
      <c r="B189"/>
      <c r="C189" s="122"/>
    </row>
    <row r="190" spans="2:3">
      <c r="B190"/>
      <c r="C190" s="122"/>
    </row>
    <row r="191" spans="2:3">
      <c r="B191"/>
      <c r="C191" s="122"/>
    </row>
    <row r="192" spans="2:3">
      <c r="B192"/>
      <c r="C192" s="122"/>
    </row>
    <row r="193" spans="2:3">
      <c r="B193"/>
      <c r="C193" s="122"/>
    </row>
    <row r="194" spans="2:3">
      <c r="B194"/>
      <c r="C194" s="122"/>
    </row>
    <row r="195" spans="2:3">
      <c r="B195"/>
      <c r="C195" s="122"/>
    </row>
    <row r="196" spans="2:3">
      <c r="B196"/>
      <c r="C196" s="122"/>
    </row>
    <row r="197" spans="2:3">
      <c r="B197"/>
      <c r="C197" s="122"/>
    </row>
  </sheetData>
  <sheetProtection algorithmName="SHA-512" hashValue="HlDH6fuCVZGe63Vkw5d22HFpMCl6z5BYCj8g1kmv8dmj6m9VrIGbqUwzZYgxY9Ng+Ash47ulLMfBVRmaPAlCpA==" saltValue="lU5mfT1Wwtbl1xRQcM0ISQ==" spinCount="100000" sheet="1" objects="1" scenarios="1"/>
  <phoneticPr fontId="3" type="noConversion"/>
  <conditionalFormatting sqref="B150 B155">
    <cfRule type="expression" dxfId="48" priority="1" stopIfTrue="1">
      <formula>$A$46=1</formula>
    </cfRule>
  </conditionalFormatting>
  <conditionalFormatting sqref="Q2 Q10:Q13">
    <cfRule type="expression" dxfId="47" priority="2" stopIfTrue="1">
      <formula>$A$50=1</formula>
    </cfRule>
  </conditionalFormatting>
  <conditionalFormatting sqref="Q3:Q4 Q6">
    <cfRule type="expression" dxfId="46" priority="3" stopIfTrue="1">
      <formula>#REF!=1</formula>
    </cfRule>
  </conditionalFormatting>
  <dataValidations count="16">
    <dataValidation type="list" allowBlank="1" showInputMessage="1" showErrorMessage="1" prompt="1.足歲、2.保險年齡" sqref="E16" xr:uid="{00000000-0002-0000-0200-000000000000}">
      <formula1>"1,2"</formula1>
    </dataValidation>
    <dataValidation allowBlank="1" showInputMessage="1" showErrorMessage="1" prompt="生日-月" sqref="B3 B152" xr:uid="{00000000-0002-0000-0200-000001000000}"/>
    <dataValidation allowBlank="1" showInputMessage="1" showErrorMessage="1" prompt="生日月份最終日" sqref="E3 E152" xr:uid="{00000000-0002-0000-0200-000002000000}"/>
    <dataValidation allowBlank="1" showInputMessage="1" showErrorMessage="1" prompt="月驗證" sqref="E4 E153" xr:uid="{00000000-0002-0000-0200-000003000000}"/>
    <dataValidation allowBlank="1" showInputMessage="1" showErrorMessage="1" prompt="日驗證" sqref="E5 E154" xr:uid="{00000000-0002-0000-0200-000004000000}"/>
    <dataValidation allowBlank="1" showInputMessage="1" showErrorMessage="1" prompt="台幣小數點下四捨五入，外幣小數點下1位四捨五入" sqref="C31" xr:uid="{00000000-0002-0000-0200-000005000000}"/>
    <dataValidation allowBlank="1" showInputMessage="1" showErrorMessage="1" prompt="台幣小數點下四捨五入，外幣小數點下捨去" sqref="C35" xr:uid="{00000000-0002-0000-0200-000006000000}"/>
    <dataValidation allowBlank="1" showInputMessage="1" showErrorMessage="1" prompt="0-不遮_x000a_1-遮" sqref="E72" xr:uid="{00000000-0002-0000-0200-000008000000}"/>
    <dataValidation type="list" allowBlank="1" showInputMessage="1" showErrorMessage="1" sqref="C69" xr:uid="{00000000-0002-0000-0200-000009000000}">
      <formula1>"業務、服展、北富銀,保經代,業務,業務、服展,北富銀,整銷,多元,銀保,錠嵂保經"</formula1>
    </dataValidation>
    <dataValidation type="list" allowBlank="1" showInputMessage="1" showErrorMessage="1" sqref="C160" xr:uid="{00000000-0002-0000-0200-00000A000000}">
      <formula1>"公版,兆豐,台新"</formula1>
    </dataValidation>
    <dataValidation type="list" allowBlank="1" showInputMessage="1" showErrorMessage="1" sqref="C105" xr:uid="{00000000-0002-0000-0200-00000B000000}">
      <formula1>"現售,停售"</formula1>
    </dataValidation>
    <dataValidation allowBlank="1" showInputMessage="1" showErrorMessage="1" prompt="輸入頁E8_x000a_顯示文字" sqref="D87" xr:uid="{00000000-0002-0000-0200-00000C000000}"/>
    <dataValidation allowBlank="1" showInputMessage="1" showErrorMessage="1" prompt="跳歲_x000a_1=提醒_x000a_0=不提醒" sqref="C85" xr:uid="{00000000-0002-0000-0200-00000D000000}"/>
    <dataValidation allowBlank="1" showInputMessage="1" showErrorMessage="1" prompt="保費_x000a_1=提醒_x000a_0=不提醒" sqref="D85" xr:uid="{00000000-0002-0000-0200-00000E000000}"/>
    <dataValidation type="list" allowBlank="1" showInputMessage="1" showErrorMessage="1" sqref="E69" xr:uid="{00000000-0002-0000-0200-00000F000000}">
      <formula1>"銀保通路,一銀,花旗"</formula1>
    </dataValidation>
    <dataValidation type="list" allowBlank="1" showInputMessage="1" showErrorMessage="1" sqref="E21" xr:uid="{00000000-0002-0000-0200-000010000000}">
      <formula1>"新臺幣,美元,澳幣,人民幣"</formula1>
    </dataValidation>
  </dataValidations>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AS39"/>
  <sheetViews>
    <sheetView showGridLines="0" showRowColHeaders="0" zoomScaleNormal="100" workbookViewId="0">
      <selection activeCell="D22" sqref="D22:F22"/>
    </sheetView>
  </sheetViews>
  <sheetFormatPr baseColWidth="10" defaultColWidth="0" defaultRowHeight="15" zeroHeight="1"/>
  <cols>
    <col min="1" max="1" width="2.3984375" style="3" customWidth="1"/>
    <col min="2" max="2" width="6.796875" style="4" customWidth="1"/>
    <col min="3" max="3" width="10.19921875" style="4" customWidth="1"/>
    <col min="4" max="4" width="13.59765625" style="4" customWidth="1"/>
    <col min="5" max="11" width="5.796875" style="4" customWidth="1"/>
    <col min="12" max="12" width="7.59765625" style="3" customWidth="1"/>
    <col min="13" max="13" width="15.796875" style="3" customWidth="1"/>
    <col min="14" max="18" width="15.796875" style="4" customWidth="1"/>
    <col min="19" max="19" width="3.19921875" style="4" customWidth="1"/>
    <col min="20" max="20" width="2.3984375" style="4" customWidth="1"/>
    <col min="21" max="239" width="3.19921875" style="4" hidden="1" customWidth="1"/>
    <col min="240" max="16384" width="3.19921875" style="4" hidden="1"/>
  </cols>
  <sheetData>
    <row r="1" spans="1:45" ht="6" customHeight="1">
      <c r="B1" s="3"/>
      <c r="C1" s="3"/>
      <c r="D1" s="3"/>
      <c r="E1" s="3"/>
      <c r="F1" s="3"/>
      <c r="G1" s="3"/>
      <c r="H1" s="3"/>
      <c r="I1" s="3"/>
      <c r="J1" s="3"/>
      <c r="K1" s="3"/>
      <c r="AS1" s="123">
        <v>0</v>
      </c>
    </row>
    <row r="2" spans="1:45" ht="29">
      <c r="A2" s="5" t="str">
        <f ca="1">OP!D53</f>
        <v/>
      </c>
      <c r="B2" s="462" t="str">
        <f>OP!$C$23&amp;"建議書"</f>
        <v>富邦人壽真馨相守防癌定期健康保險建議書</v>
      </c>
      <c r="C2" s="463"/>
      <c r="D2" s="463"/>
      <c r="E2" s="463"/>
      <c r="F2" s="463"/>
      <c r="G2" s="463"/>
      <c r="H2" s="463"/>
      <c r="I2" s="463"/>
      <c r="J2" s="463"/>
      <c r="K2" s="463"/>
      <c r="L2" s="463"/>
      <c r="M2" s="463"/>
      <c r="N2" s="463"/>
      <c r="O2" s="463"/>
      <c r="P2" s="463"/>
      <c r="Q2" s="463"/>
      <c r="R2" s="463"/>
      <c r="S2" s="463"/>
    </row>
    <row r="3" spans="1:45" ht="23" customHeight="1">
      <c r="A3" s="5"/>
      <c r="B3" s="257" t="s">
        <v>769</v>
      </c>
      <c r="C3" s="258"/>
      <c r="D3" s="258"/>
      <c r="E3" s="258"/>
      <c r="F3" s="258"/>
      <c r="G3" s="258"/>
      <c r="H3" s="258"/>
      <c r="I3" s="258"/>
      <c r="J3" s="258"/>
      <c r="K3" s="258"/>
      <c r="L3" s="258"/>
      <c r="M3" s="258"/>
      <c r="N3" s="258"/>
      <c r="O3" s="258"/>
      <c r="P3" s="258"/>
      <c r="Q3" s="258"/>
      <c r="R3" s="258"/>
      <c r="S3" s="259"/>
    </row>
    <row r="4" spans="1:45" ht="6" customHeight="1">
      <c r="B4" s="168"/>
      <c r="C4" s="167"/>
      <c r="D4" s="167"/>
      <c r="E4" s="167"/>
      <c r="F4" s="167"/>
      <c r="G4" s="167"/>
      <c r="H4" s="167"/>
      <c r="I4" s="167"/>
      <c r="J4" s="167"/>
      <c r="K4" s="167"/>
      <c r="L4" s="167"/>
      <c r="M4" s="167"/>
      <c r="N4" s="167"/>
      <c r="O4" s="167"/>
      <c r="P4" s="167"/>
      <c r="Q4" s="167"/>
      <c r="R4" s="167"/>
      <c r="S4" s="169"/>
    </row>
    <row r="5" spans="1:45" ht="17.25" customHeight="1">
      <c r="A5" s="5"/>
      <c r="B5" s="466" t="s">
        <v>4</v>
      </c>
      <c r="C5" s="467"/>
      <c r="D5" s="32" t="s">
        <v>5</v>
      </c>
      <c r="E5" s="454" t="s">
        <v>482</v>
      </c>
      <c r="F5" s="453"/>
      <c r="G5" s="453"/>
      <c r="H5" s="453"/>
      <c r="I5" s="33"/>
      <c r="J5" s="119" t="s">
        <v>6</v>
      </c>
      <c r="K5" s="470" t="s">
        <v>773</v>
      </c>
      <c r="L5" s="471"/>
      <c r="M5" s="13"/>
      <c r="N5" s="124" t="s">
        <v>772</v>
      </c>
      <c r="O5" s="464" t="str">
        <f ca="1">IF(OR(K5="",E16="",Q16=""),"",OP!$C$16&amp;" 足歲  ~  "&amp;OP!$C$15&amp;"歲 "&amp;"("&amp;OP!F7&amp;")")</f>
        <v>18 足歲  ~  50歲 (650205)</v>
      </c>
      <c r="P5" s="465"/>
      <c r="Q5" s="60"/>
      <c r="R5" s="414" t="str">
        <f>IF(OP!$C$105="停售","本商品已停售","")</f>
        <v/>
      </c>
      <c r="S5" s="170"/>
      <c r="T5" s="3"/>
    </row>
    <row r="6" spans="1:45" ht="6" customHeight="1">
      <c r="A6" s="5"/>
      <c r="B6" s="468"/>
      <c r="C6" s="467"/>
      <c r="D6" s="38"/>
      <c r="E6" s="38"/>
      <c r="F6" s="38"/>
      <c r="G6" s="38"/>
      <c r="H6" s="38"/>
      <c r="I6" s="38"/>
      <c r="J6" s="38"/>
      <c r="K6" s="38"/>
      <c r="L6" s="38"/>
      <c r="M6" s="38"/>
      <c r="N6" s="38"/>
      <c r="O6" s="38"/>
      <c r="P6" s="38"/>
      <c r="Q6" s="38"/>
      <c r="R6" s="38"/>
      <c r="S6" s="171"/>
      <c r="T6" s="3"/>
    </row>
    <row r="7" spans="1:45" ht="17.25" customHeight="1">
      <c r="A7" s="5"/>
      <c r="B7" s="468"/>
      <c r="C7" s="467"/>
      <c r="D7" s="32" t="s">
        <v>7</v>
      </c>
      <c r="E7" s="453">
        <v>760530</v>
      </c>
      <c r="F7" s="453"/>
      <c r="G7" s="453"/>
      <c r="H7" s="453"/>
      <c r="I7" s="469" t="str">
        <f ca="1">IF(OP!$E$6=1,"生日日期錯誤",OP!$D$17)</f>
        <v/>
      </c>
      <c r="J7" s="469"/>
      <c r="K7" s="469"/>
      <c r="L7" s="469"/>
      <c r="M7" s="469"/>
      <c r="N7" s="119" t="s">
        <v>8</v>
      </c>
      <c r="O7" s="103">
        <f ca="1">IF(OR(K5="",E7="",E16="",Q16=""),"",OP!$D$5)</f>
        <v>39</v>
      </c>
      <c r="P7" s="34"/>
      <c r="Q7" s="32" t="s">
        <v>9</v>
      </c>
      <c r="R7" s="52">
        <f ca="1">IF(OP!$E$6=1,"",OP!$D$6)</f>
        <v>39</v>
      </c>
      <c r="S7" s="171"/>
      <c r="T7" s="3"/>
    </row>
    <row r="8" spans="1:45" ht="6" customHeight="1">
      <c r="A8" s="5"/>
      <c r="B8" s="172"/>
      <c r="C8" s="37"/>
      <c r="D8" s="32"/>
      <c r="E8" s="33"/>
      <c r="F8" s="33"/>
      <c r="G8" s="33"/>
      <c r="H8" s="33"/>
      <c r="I8" s="31"/>
      <c r="J8" s="31"/>
      <c r="K8" s="31"/>
      <c r="L8" s="31"/>
      <c r="M8" s="31"/>
      <c r="N8" s="32"/>
      <c r="O8" s="34"/>
      <c r="P8" s="34"/>
      <c r="Q8" s="32"/>
      <c r="R8" s="39"/>
      <c r="S8" s="171"/>
      <c r="T8" s="3"/>
    </row>
    <row r="9" spans="1:45" ht="16">
      <c r="A9" s="5"/>
      <c r="B9" s="173"/>
      <c r="D9" s="242"/>
      <c r="I9" s="38"/>
      <c r="J9" s="38"/>
      <c r="K9" s="38"/>
      <c r="L9" s="40"/>
      <c r="M9" s="40"/>
      <c r="N9" s="48"/>
      <c r="O9" s="31"/>
      <c r="P9" s="40"/>
      <c r="Q9" s="243"/>
      <c r="R9" s="40"/>
      <c r="S9" s="174"/>
      <c r="T9" s="3"/>
    </row>
    <row r="10" spans="1:45" ht="6" customHeight="1">
      <c r="A10" s="5"/>
      <c r="B10" s="175"/>
      <c r="C10" s="38"/>
      <c r="D10" s="38"/>
      <c r="E10" s="38"/>
      <c r="F10" s="38"/>
      <c r="G10" s="38"/>
      <c r="H10" s="38"/>
      <c r="I10" s="38"/>
      <c r="J10" s="38"/>
      <c r="K10" s="38"/>
      <c r="L10" s="38"/>
      <c r="M10" s="38"/>
      <c r="N10" s="38"/>
      <c r="O10" s="38"/>
      <c r="P10" s="38"/>
      <c r="Q10" s="38"/>
      <c r="R10" s="38"/>
      <c r="S10" s="171"/>
      <c r="T10" s="3"/>
    </row>
    <row r="11" spans="1:45" s="7" customFormat="1" ht="6" hidden="1" customHeight="1">
      <c r="A11" s="311"/>
      <c r="B11" s="175"/>
      <c r="C11" s="312"/>
      <c r="D11" s="312"/>
      <c r="E11" s="312"/>
      <c r="F11" s="312"/>
      <c r="G11" s="312"/>
      <c r="H11" s="312"/>
      <c r="I11" s="312"/>
      <c r="J11" s="312"/>
      <c r="K11" s="312"/>
      <c r="L11" s="312"/>
      <c r="M11" s="312"/>
      <c r="N11" s="312"/>
      <c r="O11" s="312"/>
      <c r="P11" s="312"/>
      <c r="Q11" s="312"/>
      <c r="R11" s="312"/>
      <c r="S11" s="171"/>
      <c r="T11" s="313"/>
    </row>
    <row r="12" spans="1:45" s="7" customFormat="1" ht="16.5" hidden="1" customHeight="1">
      <c r="A12" s="311"/>
      <c r="B12" s="314"/>
      <c r="C12" s="315"/>
      <c r="D12" s="343" t="s">
        <v>363</v>
      </c>
      <c r="E12" s="472" t="s">
        <v>364</v>
      </c>
      <c r="F12" s="472"/>
      <c r="G12" s="472"/>
      <c r="H12" s="472"/>
      <c r="I12" s="38"/>
      <c r="J12" s="33"/>
      <c r="K12" s="473"/>
      <c r="L12" s="474"/>
      <c r="M12" s="13"/>
      <c r="N12" s="343" t="s">
        <v>365</v>
      </c>
      <c r="O12" s="475" t="s">
        <v>487</v>
      </c>
      <c r="P12" s="472"/>
      <c r="Q12" s="471"/>
      <c r="R12" s="471"/>
      <c r="S12" s="171"/>
      <c r="T12" s="313"/>
    </row>
    <row r="13" spans="1:45" s="7" customFormat="1" ht="16.5" hidden="1" customHeight="1">
      <c r="A13" s="311"/>
      <c r="B13" s="176"/>
      <c r="C13" s="53"/>
      <c r="D13" s="315" t="str">
        <f>IF($E$12="同被保險人","","要保人姓名：")</f>
        <v>要保人姓名：</v>
      </c>
      <c r="E13" s="476"/>
      <c r="F13" s="477"/>
      <c r="G13" s="477"/>
      <c r="H13" s="478"/>
      <c r="I13" s="38"/>
      <c r="J13" s="38"/>
      <c r="K13" s="38"/>
      <c r="L13" s="38"/>
      <c r="M13" s="38"/>
      <c r="N13" s="46" t="s">
        <v>488</v>
      </c>
      <c r="O13" s="460"/>
      <c r="P13" s="461"/>
      <c r="Q13" s="38"/>
      <c r="R13" s="38"/>
      <c r="S13" s="171"/>
      <c r="T13" s="313"/>
    </row>
    <row r="14" spans="1:45" s="7" customFormat="1" ht="16.5" hidden="1" customHeight="1">
      <c r="A14" s="311"/>
      <c r="B14" s="314"/>
      <c r="C14" s="315"/>
      <c r="D14" s="315" t="s">
        <v>366</v>
      </c>
      <c r="E14" s="479"/>
      <c r="F14" s="480"/>
      <c r="G14" s="480"/>
      <c r="H14" s="481"/>
      <c r="I14" s="482" t="str">
        <f>IF(OR($E$14=""),"","保險年齡："&amp;OP!$D$154&amp;"歲")</f>
        <v/>
      </c>
      <c r="J14" s="482"/>
      <c r="K14" s="482"/>
      <c r="L14" s="482"/>
      <c r="N14" s="315" t="s">
        <v>489</v>
      </c>
      <c r="O14" s="483"/>
      <c r="P14" s="484"/>
      <c r="Q14" s="31" t="s">
        <v>337</v>
      </c>
      <c r="R14" s="33"/>
      <c r="S14" s="171"/>
      <c r="T14" s="313"/>
    </row>
    <row r="15" spans="1:45" s="7" customFormat="1" ht="16.5" hidden="1" customHeight="1">
      <c r="A15" s="311"/>
      <c r="B15" s="316"/>
      <c r="C15" s="317"/>
      <c r="D15" s="318"/>
      <c r="E15" s="319" t="str">
        <f ca="1">IF(AND($E$14&lt;&gt;"",OP!$E$155=1),"要保人生日日期錯誤","")&amp;OP!$B$155</f>
        <v/>
      </c>
      <c r="F15" s="317"/>
      <c r="G15" s="317"/>
      <c r="H15" s="317"/>
      <c r="I15" s="317"/>
      <c r="J15" s="317"/>
      <c r="K15" s="317"/>
      <c r="L15" s="317"/>
      <c r="M15" s="317"/>
      <c r="N15" s="317"/>
      <c r="O15" s="320" t="str">
        <f>IF(AND($O$14&lt;&gt;"",OP!$D$159=1),"本件需進行錄音","")</f>
        <v/>
      </c>
      <c r="P15" s="317"/>
      <c r="Q15" s="317"/>
      <c r="R15" s="317"/>
      <c r="S15" s="321"/>
      <c r="T15" s="313"/>
    </row>
    <row r="16" spans="1:45" ht="17.25" customHeight="1">
      <c r="A16" s="5" t="str">
        <f>OP!$D$32</f>
        <v/>
      </c>
      <c r="B16" s="173"/>
      <c r="C16" s="142"/>
      <c r="D16" s="32" t="s">
        <v>92</v>
      </c>
      <c r="E16" s="454" t="s">
        <v>26</v>
      </c>
      <c r="F16" s="454"/>
      <c r="G16" s="454"/>
      <c r="H16" s="443" t="str">
        <f ca="1">IF(M24="","",OP!D49&amp;OP!$E$32)</f>
        <v/>
      </c>
      <c r="I16" s="443"/>
      <c r="J16" s="443"/>
      <c r="K16" s="443"/>
      <c r="L16" s="443"/>
      <c r="M16" s="443"/>
      <c r="N16" s="443"/>
      <c r="O16" s="32" t="s">
        <v>93</v>
      </c>
      <c r="P16" s="32" t="str">
        <f>IF(OP!$C$24=1,"","首期")</f>
        <v>首期</v>
      </c>
      <c r="Q16" s="459" t="s">
        <v>240</v>
      </c>
      <c r="R16" s="459"/>
      <c r="S16" s="177"/>
      <c r="T16" s="5" t="str">
        <f>IF(COUNTIF(OP!$L$31:$L$37,OP!$C$41)&lt;1,1,"")</f>
        <v/>
      </c>
    </row>
    <row r="17" spans="1:20" ht="6" customHeight="1">
      <c r="A17" s="5"/>
      <c r="B17" s="178"/>
      <c r="C17" s="33"/>
      <c r="D17" s="33"/>
      <c r="E17" s="32"/>
      <c r="F17" s="32"/>
      <c r="G17" s="32"/>
      <c r="H17" s="31"/>
      <c r="I17" s="31"/>
      <c r="J17" s="31"/>
      <c r="K17" s="31"/>
      <c r="L17" s="31"/>
      <c r="M17" s="31"/>
      <c r="N17" s="48"/>
      <c r="O17" s="32"/>
      <c r="P17" s="32"/>
      <c r="Q17" s="51"/>
      <c r="R17" s="51"/>
      <c r="S17" s="177"/>
      <c r="T17" s="3"/>
    </row>
    <row r="18" spans="1:20" ht="17.25" customHeight="1">
      <c r="A18" s="5"/>
      <c r="B18" s="179"/>
      <c r="C18" s="455"/>
      <c r="D18" s="455"/>
      <c r="E18" s="455"/>
      <c r="F18" s="455"/>
      <c r="G18" s="455"/>
      <c r="H18" s="455"/>
      <c r="I18" s="455"/>
      <c r="J18" s="455"/>
      <c r="K18" s="455"/>
      <c r="L18" s="455"/>
      <c r="M18" s="455"/>
      <c r="N18" s="455"/>
      <c r="O18" s="35"/>
      <c r="P18" s="41" t="str">
        <f>IF(OP!$C$24=1,"","續期")</f>
        <v>續期</v>
      </c>
      <c r="Q18" s="459" t="s">
        <v>240</v>
      </c>
      <c r="R18" s="459"/>
      <c r="S18" s="177"/>
      <c r="T18" s="5" t="str">
        <f>IF(AND(OP!$C$24&lt;&gt;1,COUNTIF(OP!$M$31:$M$37,OP!$C$43)&lt;1),1,"")</f>
        <v/>
      </c>
    </row>
    <row r="19" spans="1:20" ht="17.25" customHeight="1">
      <c r="A19" s="5" t="str">
        <f>IF(AND(OP!I13&lt;=0,OP!J13&lt;=0,OP!E38=1),1,"")</f>
        <v/>
      </c>
      <c r="B19" s="179"/>
      <c r="C19" s="128"/>
      <c r="D19" s="416" t="s">
        <v>276</v>
      </c>
      <c r="E19" s="458" t="s">
        <v>837</v>
      </c>
      <c r="F19" s="458"/>
      <c r="G19" s="458"/>
      <c r="H19" s="458"/>
      <c r="I19" s="458"/>
      <c r="J19" s="128"/>
      <c r="K19" s="128"/>
      <c r="L19" s="128"/>
      <c r="M19" s="128"/>
      <c r="N19" s="456" t="str">
        <f ca="1">IF($A$2=1,"",IF(OR(OP!$C$42&gt;0,OP!$C$44&gt;0),"本保件如符合本公司保費折扣條件，","")&amp;IF(AND(OP!$C$42&gt;0,OP!$C$44&gt;0),"首、續期享有1%保費折扣",IF(AND(OP!$C$42=0,OP!$C$44&gt;0),"續期享有1%保費折扣",IF(AND(OP!$C$42&gt;0,OP!$C$44=0),"首期享有1%保費折扣",""))))</f>
        <v>本保件如符合本公司保費折扣條件，首、續期享有1%保費折扣</v>
      </c>
      <c r="O19" s="456"/>
      <c r="P19" s="456"/>
      <c r="Q19" s="456"/>
      <c r="R19" s="456"/>
      <c r="S19" s="457"/>
      <c r="T19" s="3"/>
    </row>
    <row r="20" spans="1:20" ht="17.25" customHeight="1">
      <c r="A20" s="5"/>
      <c r="B20" s="190"/>
      <c r="C20" s="191" t="str">
        <f ca="1">IF($A$2=1,"",OP!K12&amp;OP!K13)</f>
        <v/>
      </c>
      <c r="D20" s="191"/>
      <c r="E20" s="191"/>
      <c r="F20" s="191"/>
      <c r="G20" s="191"/>
      <c r="H20" s="191"/>
      <c r="I20" s="191"/>
      <c r="J20" s="191"/>
      <c r="K20" s="191"/>
      <c r="L20" s="191"/>
      <c r="M20" s="191"/>
      <c r="N20" s="192"/>
      <c r="O20" s="192"/>
      <c r="P20" s="192"/>
      <c r="Q20" s="192"/>
      <c r="R20" s="193"/>
      <c r="S20" s="194"/>
      <c r="T20" s="3"/>
    </row>
    <row r="21" spans="1:20" ht="6" customHeight="1">
      <c r="A21" s="5"/>
      <c r="B21" s="175"/>
      <c r="C21" s="38"/>
      <c r="D21" s="38"/>
      <c r="E21" s="38"/>
      <c r="F21" s="38"/>
      <c r="G21" s="38"/>
      <c r="H21" s="38"/>
      <c r="I21" s="38"/>
      <c r="J21" s="38"/>
      <c r="K21" s="43"/>
      <c r="L21" s="38"/>
      <c r="M21" s="38"/>
      <c r="N21" s="35"/>
      <c r="O21" s="35"/>
      <c r="P21" s="35"/>
      <c r="Q21" s="35"/>
      <c r="R21" s="35"/>
      <c r="S21" s="183"/>
      <c r="T21" s="3"/>
    </row>
    <row r="22" spans="1:20" ht="17.25" customHeight="1">
      <c r="A22" s="5" t="str">
        <f>OP!$D$24</f>
        <v/>
      </c>
      <c r="B22" s="181"/>
      <c r="C22" s="46" t="s">
        <v>308</v>
      </c>
      <c r="D22" s="438">
        <v>20</v>
      </c>
      <c r="E22" s="439"/>
      <c r="F22" s="440"/>
      <c r="G22" s="432"/>
      <c r="H22" s="432"/>
      <c r="I22" s="432"/>
      <c r="J22" s="432"/>
      <c r="K22" s="432"/>
      <c r="L22" s="432"/>
      <c r="M22" s="217" t="s">
        <v>817</v>
      </c>
      <c r="N22" s="42"/>
      <c r="O22" s="48"/>
      <c r="P22" s="444" t="str">
        <f ca="1">IF(OR($A$2=1),"",OP!$C$32&amp;"保費：")</f>
        <v>年繳保費：</v>
      </c>
      <c r="Q22" s="444"/>
      <c r="R22" s="129">
        <f ca="1">IF($A$2=1,"",OP!$C$35)</f>
        <v>35000</v>
      </c>
      <c r="S22" s="171"/>
      <c r="T22" s="3"/>
    </row>
    <row r="23" spans="1:20" ht="6" customHeight="1">
      <c r="A23" s="5"/>
      <c r="B23" s="181"/>
      <c r="C23" s="47"/>
      <c r="D23" s="38"/>
      <c r="E23" s="38"/>
      <c r="F23" s="38"/>
      <c r="G23" s="38"/>
      <c r="H23" s="38"/>
      <c r="I23" s="38"/>
      <c r="J23" s="38"/>
      <c r="K23" s="43"/>
      <c r="L23" s="38"/>
      <c r="M23" s="38"/>
      <c r="N23" s="35"/>
      <c r="O23" s="35"/>
      <c r="P23" s="35"/>
      <c r="Q23" s="35"/>
      <c r="R23" s="35"/>
      <c r="S23" s="171"/>
      <c r="T23" s="3"/>
    </row>
    <row r="24" spans="1:20" ht="17.25" customHeight="1">
      <c r="A24" s="5" t="str">
        <f ca="1">IF(OR(OP!$C$28&lt;J25,OP!$C$28&gt;K25),1,"")</f>
        <v/>
      </c>
      <c r="B24" s="436" t="s">
        <v>309</v>
      </c>
      <c r="C24" s="437"/>
      <c r="D24" s="441" t="s">
        <v>778</v>
      </c>
      <c r="E24" s="441"/>
      <c r="F24" s="441"/>
      <c r="G24" s="450" t="s">
        <v>11</v>
      </c>
      <c r="H24" s="451"/>
      <c r="I24" s="451"/>
      <c r="J24" s="452">
        <v>100</v>
      </c>
      <c r="K24" s="452"/>
      <c r="L24" s="452"/>
      <c r="M24" s="443" t="str">
        <f ca="1">IF(OR(D24="",K25&lt;J25),"",TEXT(J25,IF(OP!$E$28=0,"#,##0 ","#,##0.0 ")&amp;"萬")&amp;" ~ "&amp;TEXT(K25,IF(OP!$E$28=0,"#,##0 ","#,##0.0 ")&amp;"萬"))</f>
        <v>50 萬 ~ 300 萬</v>
      </c>
      <c r="N24" s="443"/>
      <c r="O24" s="443" t="str">
        <f ca="1">IF(OP!$D$64=1,OP!$E$64,IF(OR($A$2=1),"",IF(OP!$C$37&gt;0,"本保件享 "&amp;TEXT(OP!$C$37,"0.0%")&amp;OP!$B$37,"")&amp;IF(OP!I25=3,OP!D40,"")))</f>
        <v/>
      </c>
      <c r="P24" s="443"/>
      <c r="Q24" s="443"/>
      <c r="R24" s="443"/>
      <c r="S24" s="445"/>
      <c r="T24" s="3"/>
    </row>
    <row r="25" spans="1:20" ht="6" customHeight="1">
      <c r="B25" s="181"/>
      <c r="C25" s="47"/>
      <c r="D25" s="38"/>
      <c r="E25" s="38"/>
      <c r="F25" s="38"/>
      <c r="G25" s="44"/>
      <c r="H25" s="44"/>
      <c r="I25" s="44"/>
      <c r="J25" s="45">
        <f>OP!$C$26</f>
        <v>50</v>
      </c>
      <c r="K25" s="13">
        <f ca="1">OP!$C$27</f>
        <v>300</v>
      </c>
      <c r="L25" s="44"/>
      <c r="M25" s="35"/>
      <c r="N25" s="35"/>
      <c r="O25" s="35"/>
      <c r="P25" s="35"/>
      <c r="Q25" s="35"/>
      <c r="R25" s="35"/>
      <c r="S25" s="171"/>
      <c r="T25" s="3"/>
    </row>
    <row r="26" spans="1:20" s="5" customFormat="1" ht="17.25" customHeight="1">
      <c r="B26" s="181"/>
      <c r="C26" s="315" t="str">
        <f ca="1">IF(OR(O7&gt;O5,D24="",M24="保額超過限制，請修正"),"","保障年期：")</f>
        <v>保障年期：</v>
      </c>
      <c r="D26" s="434" t="str">
        <f ca="1">IF(OR(O7&gt;O5,D24="",M24="保額超過限制，請修正"),"","保險年齡屆滿八十九歲")</f>
        <v>保險年齡屆滿八十九歲</v>
      </c>
      <c r="E26" s="434"/>
      <c r="F26" s="434"/>
      <c r="G26" s="434"/>
      <c r="H26" s="434"/>
      <c r="I26" s="434"/>
      <c r="J26" s="434"/>
      <c r="K26" s="434"/>
      <c r="L26" s="434"/>
      <c r="M26" s="38"/>
      <c r="N26" s="35"/>
      <c r="O26" s="435" t="str">
        <f ca="1">IF(OR(OP!$C$24=1,$A$2=1),"",IF(OP!$C$46&gt;0,"折扣後","")&amp;OP!$C$32&amp;"首期保費：")</f>
        <v>折扣後年繳首期保費：</v>
      </c>
      <c r="P26" s="435"/>
      <c r="Q26" s="435"/>
      <c r="R26" s="129">
        <f ca="1">IF(OR($A$2=1,OP!$C$24=1),"",OP!$C$48)</f>
        <v>34650</v>
      </c>
      <c r="S26" s="171"/>
    </row>
    <row r="27" spans="1:20" s="5" customFormat="1" ht="6" customHeight="1">
      <c r="B27" s="175"/>
      <c r="C27" s="33"/>
      <c r="D27" s="40"/>
      <c r="E27" s="40"/>
      <c r="F27" s="40"/>
      <c r="G27" s="38"/>
      <c r="H27" s="38"/>
      <c r="I27" s="38"/>
      <c r="J27" s="38"/>
      <c r="K27" s="43"/>
      <c r="L27" s="38"/>
      <c r="M27" s="38"/>
      <c r="N27" s="35"/>
      <c r="O27" s="35"/>
      <c r="P27" s="32"/>
      <c r="Q27" s="32"/>
      <c r="R27" s="49"/>
      <c r="S27" s="171"/>
    </row>
    <row r="28" spans="1:20" s="5" customFormat="1" ht="17.25" customHeight="1">
      <c r="B28" s="442"/>
      <c r="C28" s="443"/>
      <c r="D28" s="443"/>
      <c r="E28" s="443"/>
      <c r="F28" s="443"/>
      <c r="G28" s="443"/>
      <c r="H28" s="443"/>
      <c r="I28" s="443"/>
      <c r="J28" s="443"/>
      <c r="K28" s="443"/>
      <c r="L28" s="443"/>
      <c r="M28" s="443"/>
      <c r="N28" s="443"/>
      <c r="O28" s="435" t="str">
        <f ca="1">IF(OR(OP!$C$24=1,A2=1),"",IF(OP!$C$47&gt;0,"折扣後","")&amp;OP!$C$32&amp;"續期保費：")</f>
        <v>折扣後年繳續期保費：</v>
      </c>
      <c r="P28" s="435"/>
      <c r="Q28" s="435"/>
      <c r="R28" s="129">
        <f ca="1">IF(OR($A$2=1,OP!$C$24=1),"",OP!$C$49)</f>
        <v>34650</v>
      </c>
      <c r="S28" s="171"/>
    </row>
    <row r="29" spans="1:20" s="5" customFormat="1" ht="18" customHeight="1">
      <c r="B29" s="448" t="s">
        <v>235</v>
      </c>
      <c r="C29" s="449"/>
      <c r="D29" s="449"/>
      <c r="E29" s="449"/>
      <c r="F29" s="449"/>
      <c r="G29" s="449"/>
      <c r="H29" s="449"/>
      <c r="I29" s="449"/>
      <c r="J29" s="449"/>
      <c r="K29" s="449"/>
      <c r="L29" s="449"/>
      <c r="M29" s="449"/>
      <c r="N29" s="35"/>
      <c r="O29" s="32"/>
      <c r="P29" s="32"/>
      <c r="Q29" s="32"/>
      <c r="R29" s="147" t="str">
        <f>OP!D47</f>
        <v/>
      </c>
      <c r="S29" s="171"/>
    </row>
    <row r="30" spans="1:20" s="5" customFormat="1" ht="20" hidden="1" customHeight="1" thickTop="1">
      <c r="B30" s="180"/>
      <c r="C30" s="148"/>
      <c r="D30" s="149"/>
      <c r="E30" s="107"/>
      <c r="F30" s="107"/>
      <c r="G30" s="107"/>
      <c r="H30" s="107"/>
      <c r="I30" s="107"/>
      <c r="J30" s="107"/>
      <c r="K30" s="107"/>
      <c r="L30" s="107"/>
      <c r="M30" s="107"/>
      <c r="N30" s="108"/>
      <c r="O30" s="108"/>
      <c r="P30" s="108"/>
      <c r="Q30" s="108"/>
      <c r="R30" s="108"/>
      <c r="S30" s="182"/>
    </row>
    <row r="31" spans="1:20" s="5" customFormat="1" ht="4.5" customHeight="1">
      <c r="B31" s="175"/>
      <c r="C31" s="195"/>
      <c r="D31" s="196"/>
      <c r="E31" s="197"/>
      <c r="F31" s="198"/>
      <c r="G31" s="198"/>
      <c r="H31" s="198"/>
      <c r="I31" s="199"/>
      <c r="J31" s="199"/>
      <c r="K31" s="199"/>
      <c r="L31" s="200"/>
      <c r="M31" s="201"/>
      <c r="N31" s="197"/>
      <c r="O31" s="197"/>
      <c r="P31" s="197"/>
      <c r="Q31" s="202"/>
      <c r="R31" s="203"/>
      <c r="S31" s="183"/>
    </row>
    <row r="32" spans="1:20" ht="6" customHeight="1">
      <c r="B32" s="189"/>
      <c r="C32" s="204"/>
      <c r="D32" s="204"/>
      <c r="E32" s="204"/>
      <c r="F32" s="204"/>
      <c r="G32" s="204"/>
      <c r="H32" s="204"/>
      <c r="I32" s="204"/>
      <c r="J32" s="204"/>
      <c r="K32" s="205"/>
      <c r="L32" s="205"/>
      <c r="M32" s="205"/>
      <c r="N32" s="204"/>
      <c r="O32" s="204"/>
      <c r="P32" s="204"/>
      <c r="Q32" s="205"/>
      <c r="R32" s="205"/>
      <c r="S32" s="206"/>
    </row>
    <row r="33" spans="2:19" ht="21" customHeight="1">
      <c r="B33" s="446" t="str">
        <f>OP!C54</f>
        <v>V1.1-1150409</v>
      </c>
      <c r="C33" s="447"/>
      <c r="D33" s="184"/>
      <c r="E33" s="185"/>
      <c r="F33" s="185"/>
      <c r="G33" s="185"/>
      <c r="H33" s="185"/>
      <c r="I33" s="186"/>
      <c r="J33" s="186"/>
      <c r="K33" s="186"/>
      <c r="L33" s="186"/>
      <c r="M33" s="186"/>
      <c r="N33" s="186"/>
      <c r="O33" s="346"/>
      <c r="P33" s="187" t="s">
        <v>294</v>
      </c>
      <c r="Q33" s="433" t="str">
        <f ca="1">TEXT(YEAR(OP!$C$3)-1911,"000")&amp;TEXT(MONTH(OP!$C$3),"00")&amp;TEXT(DAY(OP!$C$3),"00")</f>
        <v>1150805</v>
      </c>
      <c r="R33" s="433"/>
      <c r="S33" s="188"/>
    </row>
    <row r="34" spans="2:19" ht="42" customHeight="1">
      <c r="B34" s="430"/>
      <c r="C34" s="431"/>
      <c r="D34" s="431"/>
      <c r="E34" s="431"/>
      <c r="F34" s="431"/>
      <c r="G34" s="431"/>
      <c r="H34" s="431"/>
      <c r="I34" s="431"/>
      <c r="J34" s="431"/>
      <c r="K34" s="431"/>
      <c r="L34" s="431"/>
      <c r="M34" s="431"/>
      <c r="N34" s="431"/>
      <c r="O34" s="431"/>
      <c r="P34" s="431"/>
      <c r="Q34" s="431"/>
      <c r="R34" s="431"/>
      <c r="S34" s="431"/>
    </row>
    <row r="35" spans="2:19" hidden="1">
      <c r="B35" s="5"/>
      <c r="C35" s="5"/>
      <c r="D35" s="5"/>
      <c r="E35" s="6"/>
      <c r="F35" s="5"/>
      <c r="G35" s="5"/>
      <c r="H35" s="5"/>
      <c r="I35" s="5"/>
      <c r="J35" s="5"/>
      <c r="K35" s="5"/>
    </row>
    <row r="36" spans="2:19" hidden="1">
      <c r="B36" s="5"/>
      <c r="C36" s="5"/>
      <c r="D36" s="5"/>
      <c r="E36" s="6"/>
      <c r="F36" s="5"/>
      <c r="G36" s="5"/>
      <c r="H36" s="5"/>
      <c r="I36" s="5"/>
      <c r="J36" s="5"/>
      <c r="K36" s="5"/>
    </row>
    <row r="37" spans="2:19" hidden="1">
      <c r="B37" s="5"/>
      <c r="C37" s="5"/>
      <c r="D37" s="5"/>
      <c r="E37" s="5"/>
      <c r="F37" s="5"/>
      <c r="G37" s="5"/>
      <c r="H37" s="5"/>
      <c r="I37" s="5"/>
      <c r="J37" s="5"/>
      <c r="K37" s="5"/>
    </row>
    <row r="38" spans="2:19" hidden="1">
      <c r="B38" s="5"/>
      <c r="C38" s="5"/>
      <c r="D38" s="5"/>
      <c r="E38" s="5"/>
      <c r="F38" s="5"/>
      <c r="G38" s="5"/>
      <c r="H38" s="5"/>
      <c r="I38" s="5"/>
      <c r="J38" s="5"/>
      <c r="K38" s="5"/>
    </row>
    <row r="39" spans="2:19" hidden="1">
      <c r="B39" s="5"/>
      <c r="C39" s="5"/>
      <c r="D39" s="5"/>
      <c r="E39" s="5"/>
      <c r="F39" s="5"/>
      <c r="G39" s="5"/>
      <c r="H39" s="5"/>
      <c r="I39" s="5"/>
      <c r="J39" s="5"/>
      <c r="K39" s="5"/>
    </row>
  </sheetData>
  <sheetProtection algorithmName="SHA-512" hashValue="8hd4Yl+xADnLY/erOB225VCJHgD7PZ3NwuDrZIBY9VopxDx3VWALHJ4zVRmqPpq3JUFmp6aH8nF09kcDOnXlEQ==" saltValue="ko7txSuFgudlhx62IxujUw==" spinCount="100000" sheet="1" objects="1" scenarios="1" selectLockedCells="1"/>
  <mergeCells count="40">
    <mergeCell ref="B2:S2"/>
    <mergeCell ref="O5:P5"/>
    <mergeCell ref="E5:H5"/>
    <mergeCell ref="B5:C7"/>
    <mergeCell ref="Q16:R16"/>
    <mergeCell ref="I7:M7"/>
    <mergeCell ref="K5:L5"/>
    <mergeCell ref="E12:H12"/>
    <mergeCell ref="K12:L12"/>
    <mergeCell ref="O12:P12"/>
    <mergeCell ref="Q12:R12"/>
    <mergeCell ref="E13:H13"/>
    <mergeCell ref="E14:H14"/>
    <mergeCell ref="I14:L14"/>
    <mergeCell ref="O14:P14"/>
    <mergeCell ref="J24:L24"/>
    <mergeCell ref="E7:H7"/>
    <mergeCell ref="E16:G16"/>
    <mergeCell ref="C18:N18"/>
    <mergeCell ref="N19:S19"/>
    <mergeCell ref="E19:I19"/>
    <mergeCell ref="Q18:R18"/>
    <mergeCell ref="H16:N16"/>
    <mergeCell ref="O13:P13"/>
    <mergeCell ref="B34:S34"/>
    <mergeCell ref="G22:L22"/>
    <mergeCell ref="Q33:R33"/>
    <mergeCell ref="D26:L26"/>
    <mergeCell ref="O26:Q26"/>
    <mergeCell ref="O28:Q28"/>
    <mergeCell ref="B24:C24"/>
    <mergeCell ref="D22:F22"/>
    <mergeCell ref="D24:F24"/>
    <mergeCell ref="B28:N28"/>
    <mergeCell ref="P22:Q22"/>
    <mergeCell ref="M24:N24"/>
    <mergeCell ref="O24:S24"/>
    <mergeCell ref="B33:C33"/>
    <mergeCell ref="B29:M29"/>
    <mergeCell ref="G24:I24"/>
  </mergeCells>
  <phoneticPr fontId="3" type="noConversion"/>
  <conditionalFormatting sqref="D12">
    <cfRule type="expression" dxfId="45" priority="9" stopIfTrue="1">
      <formula>$O$12="本人"</formula>
    </cfRule>
  </conditionalFormatting>
  <conditionalFormatting sqref="D24:F24">
    <cfRule type="expression" dxfId="44" priority="36" stopIfTrue="1">
      <formula>OR($D$24="",$A$22=1)</formula>
    </cfRule>
  </conditionalFormatting>
  <conditionalFormatting sqref="E19">
    <cfRule type="expression" dxfId="43" priority="2" stopIfTrue="1">
      <formula>$A$16=1</formula>
    </cfRule>
    <cfRule type="cellIs" dxfId="42" priority="3" stopIfTrue="1" operator="equal">
      <formula>""</formula>
    </cfRule>
  </conditionalFormatting>
  <conditionalFormatting sqref="E16:G16">
    <cfRule type="expression" dxfId="41" priority="29" stopIfTrue="1">
      <formula>$A$16=1</formula>
    </cfRule>
    <cfRule type="cellIs" dxfId="40" priority="30" stopIfTrue="1" operator="equal">
      <formula>""</formula>
    </cfRule>
  </conditionalFormatting>
  <conditionalFormatting sqref="E5:H5">
    <cfRule type="cellIs" dxfId="39" priority="20" stopIfTrue="1" operator="equal">
      <formula>""</formula>
    </cfRule>
  </conditionalFormatting>
  <conditionalFormatting sqref="E7:H7">
    <cfRule type="expression" dxfId="38" priority="21" stopIfTrue="1">
      <formula>$A$7=1</formula>
    </cfRule>
    <cfRule type="cellIs" dxfId="37" priority="22" stopIfTrue="1" operator="equal">
      <formula>""</formula>
    </cfRule>
  </conditionalFormatting>
  <conditionalFormatting sqref="E12:H12 K12:L12">
    <cfRule type="expression" dxfId="36" priority="8" stopIfTrue="1">
      <formula>$O$12="本人"</formula>
    </cfRule>
  </conditionalFormatting>
  <conditionalFormatting sqref="E13:H13">
    <cfRule type="expression" dxfId="35" priority="4" stopIfTrue="1">
      <formula>$E$12="同被保險人"</formula>
    </cfRule>
  </conditionalFormatting>
  <conditionalFormatting sqref="E14:H14">
    <cfRule type="expression" dxfId="34" priority="5">
      <formula>$O$12="本人"</formula>
    </cfRule>
  </conditionalFormatting>
  <conditionalFormatting sqref="E19:I19">
    <cfRule type="expression" dxfId="33" priority="1">
      <formula>$A$19=1</formula>
    </cfRule>
  </conditionalFormatting>
  <conditionalFormatting sqref="J24:L24">
    <cfRule type="expression" dxfId="32" priority="25" stopIfTrue="1">
      <formula>$A$24=1</formula>
    </cfRule>
    <cfRule type="cellIs" dxfId="31" priority="26" stopIfTrue="1" operator="equal">
      <formula>""</formula>
    </cfRule>
  </conditionalFormatting>
  <conditionalFormatting sqref="O14">
    <cfRule type="expression" dxfId="30" priority="6">
      <formula>$O$12="本人"</formula>
    </cfRule>
  </conditionalFormatting>
  <conditionalFormatting sqref="Q12:R12">
    <cfRule type="expression" dxfId="29" priority="7" stopIfTrue="1">
      <formula>#REF!="其他(請說明)"</formula>
    </cfRule>
  </conditionalFormatting>
  <conditionalFormatting sqref="Q16:R16">
    <cfRule type="cellIs" dxfId="28" priority="31" stopIfTrue="1" operator="equal">
      <formula>""</formula>
    </cfRule>
    <cfRule type="expression" dxfId="27" priority="32" stopIfTrue="1">
      <formula>$T$16=1</formula>
    </cfRule>
  </conditionalFormatting>
  <conditionalFormatting sqref="Q18:R18">
    <cfRule type="cellIs" dxfId="26" priority="33" stopIfTrue="1" operator="equal">
      <formula>""</formula>
    </cfRule>
    <cfRule type="expression" dxfId="25" priority="34" stopIfTrue="1">
      <formula>$D$24="XWO"</formula>
    </cfRule>
    <cfRule type="expression" dxfId="24" priority="35" stopIfTrue="1">
      <formula>$T$18=1</formula>
    </cfRule>
  </conditionalFormatting>
  <conditionalFormatting sqref="S9">
    <cfRule type="expression" dxfId="23" priority="15" stopIfTrue="1">
      <formula>#REF!&lt;14</formula>
    </cfRule>
  </conditionalFormatting>
  <dataValidations xWindow="286" yWindow="286" count="12">
    <dataValidation type="decimal" allowBlank="1" showErrorMessage="1" errorTitle="保額錯誤" error="請注意承保保額限制" sqref="J24:L24" xr:uid="{00000000-0002-0000-0300-000000000000}">
      <formula1>J25</formula1>
      <formula2>K25</formula2>
    </dataValidation>
    <dataValidation allowBlank="1" showInputMessage="1" showErrorMessage="1" errorTitle="性別" error="性別輸入錯誤" sqref="M5 K12:M12" xr:uid="{00000000-0002-0000-0300-000002000000}"/>
    <dataValidation allowBlank="1" showInputMessage="1" showErrorMessage="1" promptTitle="6位數輸入生日" prompt="請以六位數輸入生日_x000a_EX_x000a_52年5月28日_x000a_→520528_x000a_48年9月1日_x000a_→480901" sqref="E8:H8" xr:uid="{00000000-0002-0000-0300-000003000000}"/>
    <dataValidation allowBlank="1" showInputMessage="1" showErrorMessage="1" errorTitle="繳別" error="繳別錯誤" sqref="Q17:R17" xr:uid="{00000000-0002-0000-0300-000004000000}"/>
    <dataValidation allowBlank="1" showInputMessage="1" showErrorMessage="1" errorTitle="繳法" error="繳法錯誤" sqref="E17:G17" xr:uid="{00000000-0002-0000-0300-000005000000}"/>
    <dataValidation type="list" allowBlank="1" showInputMessage="1" showErrorMessage="1" errorTitle="繳法" error="繳法錯誤" sqref="E16:G16" xr:uid="{00000000-0002-0000-0300-000006000000}">
      <formula1>"年繳,半年繳,季繳,月繳"</formula1>
    </dataValidation>
    <dataValidation type="list" allowBlank="1" showInputMessage="1" showErrorMessage="1" errorTitle="繳費方式" error="繳費方式錯誤" sqref="Q18:R18" xr:uid="{00000000-0002-0000-0300-000007000000}">
      <formula1>"金融機構轉帳,一般信用卡,富邦信用卡,自行繳費"</formula1>
    </dataValidation>
    <dataValidation type="list" allowBlank="1" showInputMessage="1" showErrorMessage="1" errorTitle="繳費方式" error="繳費方式錯誤" sqref="Q16:R16" xr:uid="{00000000-0002-0000-0300-000008000000}">
      <formula1>"匯款,金融機構轉帳,一般信用卡,富邦信用卡"</formula1>
    </dataValidation>
    <dataValidation type="list" allowBlank="1" showInputMessage="1" showErrorMessage="1" sqref="D22:F22" xr:uid="{00000000-0002-0000-0300-000009000000}">
      <formula1>"10,20"</formula1>
    </dataValidation>
    <dataValidation type="list" allowBlank="1" showInputMessage="1" showErrorMessage="1" sqref="O12:P12" xr:uid="{00000000-0002-0000-0300-00000A000000}">
      <formula1>"同要被保人,與要被保人不同"</formula1>
    </dataValidation>
    <dataValidation type="list" allowBlank="1" showInputMessage="1" showErrorMessage="1" sqref="E12:H12" xr:uid="{00000000-0002-0000-0300-00000B000000}">
      <formula1>"與被保險人不同,同被保險人"</formula1>
    </dataValidation>
    <dataValidation type="list" allowBlank="1" showInputMessage="1" showErrorMessage="1" errorTitle="繳法" error="繳法錯誤" sqref="E19:I19" xr:uid="{1D48C727-F2EE-48E7-9EBE-A2BD304C4B96}">
      <formula1>"無,員工轉帳件"</formula1>
    </dataValidation>
  </dataValidations>
  <printOptions horizontalCentered="1"/>
  <pageMargins left="0.74803149606299213" right="0.74803149606299213" top="0.98425196850393704" bottom="0.98425196850393704" header="0.51181102362204722" footer="0.51181102362204722"/>
  <pageSetup paperSize="9" scale="56" orientation="portrait" horizontalDpi="1200" verticalDpi="1200" r:id="rId1"/>
  <headerFooter alignWithMargins="0"/>
  <extLst>
    <ext xmlns:x14="http://schemas.microsoft.com/office/spreadsheetml/2009/9/main" uri="{CCE6A557-97BC-4b89-ADB6-D9C93CAAB3DF}">
      <x14:dataValidations xmlns:xm="http://schemas.microsoft.com/office/excel/2006/main" xWindow="286" yWindow="286" count="3">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6或7位數輸入生日" prompt="請以六或七位數輸入生日_x000a_EX_x000a_100年 1月 1日_x000a_→ 1000101_x000a_48年9月1日_x000a_→480901" xr:uid="{00000000-0002-0000-0300-00000C000000}">
          <x14:formula1>
            <xm:f>OP!C156</xm:f>
          </x14:formula1>
          <xm:sqref>E7:H7</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300-00000D000000}">
          <x14:formula1>
            <xm:f>OP!C156</xm:f>
          </x14:formula1>
          <xm:sqref>O14:P14</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300-00000E000000}">
          <x14:formula1>
            <xm:f>OP!C156</xm:f>
          </x14:formula1>
          <xm:sqref>E14:H14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2060"/>
  </sheetPr>
  <dimension ref="A1:V408"/>
  <sheetViews>
    <sheetView showGridLines="0" showRowColHeaders="0" tabSelected="1" view="pageBreakPreview" topLeftCell="A33" zoomScale="130" zoomScaleNormal="130" zoomScaleSheetLayoutView="130" workbookViewId="0">
      <selection activeCell="P50" sqref="P50:R50"/>
    </sheetView>
  </sheetViews>
  <sheetFormatPr baseColWidth="10" defaultColWidth="0" defaultRowHeight="13" zeroHeight="1"/>
  <cols>
    <col min="1" max="1" width="1.59765625" style="7" customWidth="1"/>
    <col min="2" max="8" width="5.796875" style="7" customWidth="1"/>
    <col min="9" max="12" width="5.3984375" style="7" customWidth="1"/>
    <col min="13" max="14" width="5.796875" style="7" customWidth="1"/>
    <col min="15" max="18" width="6.3984375" style="7" customWidth="1"/>
    <col min="19" max="20" width="5.796875" style="7" customWidth="1"/>
    <col min="21" max="21" width="5" style="7" customWidth="1"/>
    <col min="22" max="22" width="1.59765625" style="7" customWidth="1"/>
    <col min="23" max="16384" width="0" style="7" hidden="1"/>
  </cols>
  <sheetData>
    <row r="1" spans="1:21" ht="3" customHeight="1"/>
    <row r="2" spans="1:21" ht="18" customHeight="1">
      <c r="A2" s="11" t="str">
        <f ca="1">OP!$D$53</f>
        <v/>
      </c>
      <c r="B2" s="526" t="str">
        <f>輸入頁!B2</f>
        <v>富邦人壽真馨相守防癌定期健康保險建議書</v>
      </c>
      <c r="C2" s="526"/>
      <c r="D2" s="526"/>
      <c r="E2" s="526"/>
      <c r="F2" s="526"/>
      <c r="G2" s="526"/>
      <c r="H2" s="526"/>
      <c r="I2" s="526"/>
      <c r="J2" s="526"/>
      <c r="K2" s="526"/>
      <c r="L2" s="526"/>
      <c r="M2" s="526"/>
      <c r="N2" s="526"/>
      <c r="O2" s="526"/>
      <c r="P2" s="526"/>
      <c r="Q2" s="526"/>
      <c r="R2" s="526"/>
      <c r="S2" s="526"/>
      <c r="T2" s="526"/>
      <c r="U2" s="526"/>
    </row>
    <row r="3" spans="1:21" ht="4.5" hidden="1" customHeight="1">
      <c r="A3" s="10"/>
    </row>
    <row r="4" spans="1:21" s="106" customFormat="1" ht="15" customHeight="1">
      <c r="A4" s="105"/>
      <c r="B4" s="527" t="s">
        <v>275</v>
      </c>
      <c r="C4" s="527"/>
      <c r="D4" s="545" t="str">
        <f>OP!$C$73</f>
        <v>客戶</v>
      </c>
      <c r="E4" s="545"/>
      <c r="F4" s="545"/>
      <c r="G4" s="545"/>
      <c r="H4" s="545"/>
      <c r="I4" s="538" t="s">
        <v>12</v>
      </c>
      <c r="J4" s="539"/>
      <c r="K4" s="539"/>
      <c r="L4" s="534">
        <f ca="1">OP!$D$5</f>
        <v>39</v>
      </c>
      <c r="M4" s="534"/>
      <c r="N4" s="528" t="s">
        <v>1</v>
      </c>
      <c r="O4" s="528"/>
      <c r="P4" s="141" t="str">
        <f>輸入頁!K5</f>
        <v>女</v>
      </c>
      <c r="Q4" s="529" t="str">
        <f>OP!$D$94</f>
        <v>本保單計價幣別：新臺幣</v>
      </c>
      <c r="R4" s="529"/>
      <c r="S4" s="529"/>
      <c r="T4" s="529"/>
      <c r="U4" s="529"/>
    </row>
    <row r="5" spans="1:21" s="138" customFormat="1" ht="15" customHeight="1">
      <c r="A5" s="36"/>
      <c r="B5" s="508" t="s">
        <v>2</v>
      </c>
      <c r="C5" s="540"/>
      <c r="D5" s="540"/>
      <c r="E5" s="540"/>
      <c r="F5" s="540"/>
      <c r="G5" s="540"/>
      <c r="H5" s="540"/>
      <c r="I5" s="540"/>
      <c r="J5" s="540"/>
      <c r="K5" s="540"/>
      <c r="L5" s="541"/>
      <c r="M5" s="511" t="s">
        <v>3</v>
      </c>
      <c r="N5" s="511"/>
      <c r="O5" s="511" t="s">
        <v>10</v>
      </c>
      <c r="P5" s="511"/>
      <c r="Q5" s="511"/>
      <c r="R5" s="511" t="str">
        <f>OP!$C$32&amp;"應繳保費/元"</f>
        <v>年繳應繳保費/元</v>
      </c>
      <c r="S5" s="511"/>
      <c r="T5" s="511"/>
      <c r="U5" s="511"/>
    </row>
    <row r="6" spans="1:21" s="138" customFormat="1" ht="15" customHeight="1">
      <c r="A6" s="36">
        <v>1</v>
      </c>
      <c r="B6" s="542" t="str">
        <f ca="1">OP!$D$93</f>
        <v>富邦人壽真馨相守防癌定期健康保險(繳費20年)</v>
      </c>
      <c r="C6" s="543"/>
      <c r="D6" s="543"/>
      <c r="E6" s="543"/>
      <c r="F6" s="543"/>
      <c r="G6" s="543"/>
      <c r="H6" s="543"/>
      <c r="I6" s="543"/>
      <c r="J6" s="543"/>
      <c r="K6" s="543"/>
      <c r="L6" s="544"/>
      <c r="M6" s="536" t="str">
        <f ca="1">IF($A$2=1,"",OP!$C$22)</f>
        <v>CLX</v>
      </c>
      <c r="N6" s="536"/>
      <c r="O6" s="535" t="str">
        <f ca="1">IF($A$2=1,"",TEXT(OP!$C$28,IF(OP!$E$28=0,"#,##0 ","#,##0.0 "))&amp;"萬")</f>
        <v>100 萬</v>
      </c>
      <c r="P6" s="535"/>
      <c r="Q6" s="535"/>
      <c r="R6" s="532">
        <f ca="1">IF($A$2=1,"",OP!C35)</f>
        <v>35000</v>
      </c>
      <c r="S6" s="532"/>
      <c r="T6" s="532"/>
      <c r="U6" s="532"/>
    </row>
    <row r="7" spans="1:21" s="351" customFormat="1" ht="15" customHeight="1">
      <c r="A7" s="350"/>
      <c r="B7" s="347" t="str">
        <f ca="1">OP!$D$91</f>
        <v>本保件符合保費折扣條件：繳費方式 1.0%折扣</v>
      </c>
      <c r="C7" s="348"/>
      <c r="D7" s="348"/>
      <c r="E7" s="348"/>
      <c r="F7" s="348"/>
      <c r="G7" s="348"/>
      <c r="H7" s="348"/>
      <c r="I7" s="348"/>
      <c r="J7" s="348"/>
      <c r="K7" s="348"/>
      <c r="L7" s="348"/>
      <c r="M7" s="348"/>
      <c r="N7" s="348"/>
      <c r="O7" s="348"/>
      <c r="P7" s="348"/>
      <c r="Q7" s="348"/>
      <c r="R7" s="348"/>
      <c r="S7" s="348"/>
      <c r="T7" s="348"/>
      <c r="U7" s="349"/>
    </row>
    <row r="8" spans="1:21" s="351" customFormat="1" ht="15" customHeight="1">
      <c r="A8" s="350"/>
      <c r="B8" s="533" t="str">
        <f ca="1">OP!$D$92</f>
        <v xml:space="preserve">年繳總保費 35,000元，首期折扣後保費 34,650 元 ，續期折扣後保費 34,650 元 </v>
      </c>
      <c r="C8" s="533"/>
      <c r="D8" s="533"/>
      <c r="E8" s="533"/>
      <c r="F8" s="533"/>
      <c r="G8" s="533"/>
      <c r="H8" s="533"/>
      <c r="I8" s="533"/>
      <c r="J8" s="533"/>
      <c r="K8" s="533"/>
      <c r="L8" s="533"/>
      <c r="M8" s="533"/>
      <c r="N8" s="533"/>
      <c r="O8" s="533"/>
      <c r="P8" s="533"/>
      <c r="Q8" s="533"/>
      <c r="R8" s="533"/>
      <c r="S8" s="533"/>
      <c r="T8" s="533"/>
      <c r="U8" s="533"/>
    </row>
    <row r="9" spans="1:21" ht="13" hidden="1" customHeight="1" thickBot="1">
      <c r="A9" s="10"/>
      <c r="B9" s="537"/>
      <c r="C9" s="537"/>
      <c r="D9" s="537"/>
      <c r="E9" s="537"/>
      <c r="F9" s="537"/>
      <c r="G9" s="537"/>
      <c r="H9" s="537"/>
      <c r="I9" s="537"/>
      <c r="J9" s="537"/>
      <c r="K9" s="537"/>
      <c r="L9" s="537"/>
      <c r="M9" s="537"/>
      <c r="N9" s="537"/>
      <c r="O9" s="537"/>
      <c r="P9" s="537"/>
      <c r="Q9" s="537"/>
      <c r="R9" s="537"/>
      <c r="S9" s="537"/>
      <c r="T9" s="537"/>
      <c r="U9" s="537"/>
    </row>
    <row r="10" spans="1:21" ht="3" customHeight="1">
      <c r="A10" s="10"/>
      <c r="B10" s="530"/>
      <c r="C10" s="531"/>
      <c r="D10" s="531"/>
      <c r="E10" s="531"/>
      <c r="F10" s="531"/>
      <c r="G10" s="531"/>
      <c r="H10" s="531"/>
      <c r="I10" s="531"/>
      <c r="J10" s="531"/>
      <c r="K10" s="531"/>
      <c r="L10" s="531"/>
      <c r="M10" s="531"/>
      <c r="N10" s="531"/>
      <c r="O10" s="531"/>
      <c r="P10" s="531"/>
      <c r="Q10" s="531"/>
      <c r="R10" s="531"/>
      <c r="S10" s="20"/>
      <c r="T10" s="19"/>
      <c r="U10" s="19"/>
    </row>
    <row r="11" spans="1:21" ht="16" customHeight="1">
      <c r="A11" s="10"/>
      <c r="B11" s="548" t="str">
        <f ca="1">IF($A$2=1,"",OP!$C$22&amp;"第二保單年度起之續期健康管理保險費折扣")</f>
        <v>CLX第二保單年度起之續期健康管理保險費折扣</v>
      </c>
      <c r="C11" s="548"/>
      <c r="D11" s="548"/>
      <c r="E11" s="548"/>
      <c r="F11" s="548"/>
      <c r="G11" s="548"/>
      <c r="H11" s="548"/>
      <c r="I11" s="548"/>
      <c r="J11" s="548"/>
      <c r="K11" s="548"/>
      <c r="L11" s="548"/>
      <c r="M11" s="548"/>
      <c r="N11" s="548"/>
      <c r="O11" s="548"/>
      <c r="P11" s="548"/>
      <c r="Q11" s="548"/>
      <c r="R11" s="548"/>
      <c r="S11" s="548"/>
      <c r="T11" s="548"/>
      <c r="U11" s="548"/>
    </row>
    <row r="12" spans="1:21" ht="3" customHeight="1">
      <c r="A12" s="10"/>
      <c r="B12" s="363"/>
      <c r="C12" s="364"/>
      <c r="D12" s="364"/>
      <c r="E12" s="364"/>
      <c r="F12" s="364"/>
      <c r="G12" s="364"/>
      <c r="H12" s="364"/>
      <c r="I12" s="364"/>
      <c r="J12" s="364"/>
      <c r="K12" s="364"/>
      <c r="L12" s="364"/>
      <c r="M12" s="364"/>
      <c r="N12" s="364"/>
      <c r="O12" s="364"/>
      <c r="P12" s="364"/>
      <c r="Q12" s="364"/>
      <c r="R12" s="364"/>
      <c r="S12" s="20"/>
      <c r="T12" s="19"/>
      <c r="U12" s="19"/>
    </row>
    <row r="13" spans="1:21" s="369" customFormat="1" ht="15" customHeight="1">
      <c r="A13" s="368"/>
      <c r="B13" s="549" t="str">
        <f ca="1">IF($A$2=1,"",OP!$L$43)</f>
        <v>健康管理保險費折扣項目</v>
      </c>
      <c r="C13" s="550"/>
      <c r="D13" s="550"/>
      <c r="E13" s="550"/>
      <c r="F13" s="550"/>
      <c r="G13" s="551"/>
      <c r="H13" s="552" t="str">
        <f ca="1">IF($A$2=1,"",OP!$M$43)</f>
        <v>CLX折扣率</v>
      </c>
      <c r="I13" s="551"/>
      <c r="J13" s="551"/>
      <c r="K13" s="551"/>
      <c r="L13" s="551"/>
      <c r="M13" s="552" t="str">
        <f ca="1">IF($A$2=1,"",OP!$N$43)</f>
        <v>CLX續年度折扣後實繳保費(含續期繳費方式折扣1.0%)</v>
      </c>
      <c r="N13" s="553"/>
      <c r="O13" s="553"/>
      <c r="P13" s="553"/>
      <c r="Q13" s="553"/>
      <c r="R13" s="553"/>
      <c r="S13" s="553"/>
      <c r="T13" s="553"/>
      <c r="U13" s="553"/>
    </row>
    <row r="14" spans="1:21" ht="15" customHeight="1">
      <c r="A14" s="10"/>
      <c r="B14" s="554" t="str">
        <f ca="1">IF($A$2=1,"",OP!$L$44)</f>
        <v>健康檢查</v>
      </c>
      <c r="C14" s="555"/>
      <c r="D14" s="555"/>
      <c r="E14" s="555"/>
      <c r="F14" s="555"/>
      <c r="G14" s="556"/>
      <c r="H14" s="557">
        <f ca="1">IF($A$2=1,"",OP!$M$44)</f>
        <v>0.01</v>
      </c>
      <c r="I14" s="558"/>
      <c r="J14" s="558"/>
      <c r="K14" s="558"/>
      <c r="L14" s="558"/>
      <c r="M14" s="559" t="str">
        <f ca="1">IF($A$2=1,"",TEXT(OP!$N44,"#,### 元"))</f>
        <v>34,300 元</v>
      </c>
      <c r="N14" s="560"/>
      <c r="O14" s="560"/>
      <c r="P14" s="560"/>
      <c r="Q14" s="560"/>
      <c r="R14" s="560"/>
      <c r="S14" s="560"/>
      <c r="T14" s="560"/>
      <c r="U14" s="560"/>
    </row>
    <row r="15" spans="1:21" s="369" customFormat="1" ht="15" customHeight="1">
      <c r="A15" s="368"/>
      <c r="B15" s="370" t="s">
        <v>504</v>
      </c>
      <c r="C15" s="371"/>
      <c r="D15" s="371"/>
      <c r="E15" s="371"/>
      <c r="F15" s="371"/>
      <c r="G15" s="371"/>
      <c r="H15" s="371"/>
      <c r="I15" s="371"/>
      <c r="J15" s="371"/>
      <c r="K15" s="371"/>
      <c r="L15" s="371"/>
      <c r="M15" s="371"/>
      <c r="N15" s="371"/>
      <c r="O15" s="371"/>
      <c r="P15" s="371"/>
      <c r="Q15" s="371"/>
      <c r="R15" s="371"/>
      <c r="S15" s="20"/>
      <c r="T15" s="19"/>
      <c r="U15" s="19"/>
    </row>
    <row r="16" spans="1:21" s="369" customFormat="1" ht="3" customHeight="1">
      <c r="A16" s="368"/>
      <c r="B16" s="370"/>
      <c r="C16" s="371"/>
      <c r="D16" s="371"/>
      <c r="E16" s="371"/>
      <c r="F16" s="371"/>
      <c r="G16" s="371"/>
      <c r="H16" s="371"/>
      <c r="I16" s="371"/>
      <c r="J16" s="371"/>
      <c r="K16" s="371"/>
      <c r="L16" s="371"/>
      <c r="M16" s="371"/>
      <c r="N16" s="371"/>
      <c r="O16" s="371"/>
      <c r="P16" s="371"/>
      <c r="Q16" s="371"/>
      <c r="R16" s="371"/>
      <c r="S16" s="20"/>
      <c r="T16" s="19"/>
      <c r="U16" s="19"/>
    </row>
    <row r="17" spans="2:22" ht="16" customHeight="1">
      <c r="B17" s="548" t="s">
        <v>792</v>
      </c>
      <c r="C17" s="548"/>
      <c r="D17" s="548"/>
      <c r="E17" s="548"/>
      <c r="F17" s="548"/>
      <c r="G17" s="548"/>
      <c r="H17" s="548"/>
      <c r="I17" s="548"/>
      <c r="J17" s="548"/>
      <c r="K17" s="548"/>
      <c r="L17" s="548"/>
      <c r="M17" s="548"/>
      <c r="N17" s="548"/>
      <c r="O17" s="548"/>
      <c r="P17" s="548"/>
      <c r="Q17" s="548"/>
      <c r="R17" s="548"/>
      <c r="S17" s="548"/>
      <c r="T17" s="548"/>
      <c r="U17" s="548"/>
      <c r="V17" s="9"/>
    </row>
    <row r="18" spans="2:22" s="106" customFormat="1" ht="12" customHeight="1">
      <c r="C18" s="360"/>
      <c r="D18" s="362"/>
      <c r="E18" s="362"/>
      <c r="F18" s="359"/>
      <c r="G18" s="359"/>
      <c r="H18" s="361"/>
      <c r="I18" s="361"/>
      <c r="J18" s="359"/>
      <c r="K18" s="359"/>
      <c r="L18" s="358"/>
      <c r="M18" s="358"/>
      <c r="N18" s="359"/>
      <c r="O18" s="359"/>
      <c r="P18" s="137"/>
      <c r="T18" s="218"/>
      <c r="U18" s="345" t="str">
        <f>IF(OP!$C$105="停售","本商品已停售","")</f>
        <v/>
      </c>
      <c r="V18" s="219"/>
    </row>
    <row r="19" spans="2:22" ht="3" hidden="1" customHeight="1">
      <c r="B19" s="263"/>
      <c r="C19" s="263"/>
      <c r="D19" s="264"/>
      <c r="E19" s="264"/>
      <c r="F19" s="263"/>
      <c r="G19" s="263"/>
      <c r="H19" s="264"/>
      <c r="I19" s="264"/>
      <c r="J19" s="16"/>
      <c r="K19" s="16"/>
      <c r="L19" s="265"/>
      <c r="M19" s="265"/>
      <c r="N19" s="263"/>
      <c r="O19" s="263"/>
      <c r="P19" s="266"/>
      <c r="Q19" s="12"/>
      <c r="R19" s="267"/>
      <c r="S19" s="268"/>
      <c r="T19" s="269"/>
      <c r="U19" s="270"/>
      <c r="V19" s="9"/>
    </row>
    <row r="20" spans="2:22" ht="27.75" customHeight="1">
      <c r="B20" s="516" t="s">
        <v>793</v>
      </c>
      <c r="C20" s="516"/>
      <c r="D20" s="417" t="s">
        <v>794</v>
      </c>
      <c r="E20" s="516" t="s">
        <v>795</v>
      </c>
      <c r="F20" s="516"/>
      <c r="G20" s="516"/>
      <c r="H20" s="516" t="s">
        <v>796</v>
      </c>
      <c r="I20" s="516"/>
      <c r="J20" s="516"/>
      <c r="K20" s="516"/>
      <c r="L20" s="516"/>
      <c r="M20" s="516"/>
      <c r="N20" s="516"/>
      <c r="O20" s="516"/>
      <c r="P20" s="516"/>
      <c r="Q20" s="516"/>
      <c r="R20" s="516"/>
      <c r="S20" s="516"/>
      <c r="T20" s="516"/>
      <c r="U20" s="516"/>
      <c r="V20" s="9"/>
    </row>
    <row r="21" spans="2:22" ht="30" customHeight="1">
      <c r="B21" s="492" t="s">
        <v>798</v>
      </c>
      <c r="C21" s="492"/>
      <c r="D21" s="424">
        <v>1</v>
      </c>
      <c r="E21" s="520" t="str">
        <f ca="1">IF(OR($A$2=1),"",TEXT(OP!$C$31*1.06,"#,##0")&amp;"元")</f>
        <v>37,100元</v>
      </c>
      <c r="F21" s="520"/>
      <c r="G21" s="520"/>
      <c r="H21" s="494" t="s">
        <v>827</v>
      </c>
      <c r="I21" s="494"/>
      <c r="J21" s="494"/>
      <c r="K21" s="494"/>
      <c r="L21" s="494"/>
      <c r="M21" s="494"/>
      <c r="N21" s="494"/>
      <c r="O21" s="494"/>
      <c r="P21" s="494"/>
      <c r="Q21" s="494"/>
      <c r="R21" s="494"/>
      <c r="S21" s="494"/>
      <c r="T21" s="494"/>
      <c r="U21" s="494"/>
      <c r="V21" s="419"/>
    </row>
    <row r="22" spans="2:22" ht="30" customHeight="1">
      <c r="B22" s="492"/>
      <c r="C22" s="492"/>
      <c r="D22" s="424" t="s">
        <v>797</v>
      </c>
      <c r="E22" s="520" t="str">
        <f ca="1">IF(OR($A$2=1),"",TEXT(OP!$C$28*10000*0.1,"#,##0")&amp;"元")</f>
        <v>100,000元</v>
      </c>
      <c r="F22" s="520"/>
      <c r="G22" s="520"/>
      <c r="H22" s="494"/>
      <c r="I22" s="494"/>
      <c r="J22" s="494"/>
      <c r="K22" s="494"/>
      <c r="L22" s="494"/>
      <c r="M22" s="494"/>
      <c r="N22" s="494"/>
      <c r="O22" s="494"/>
      <c r="P22" s="494"/>
      <c r="Q22" s="494"/>
      <c r="R22" s="494"/>
      <c r="S22" s="494"/>
      <c r="T22" s="494"/>
      <c r="U22" s="494"/>
      <c r="V22" s="9"/>
    </row>
    <row r="23" spans="2:22" ht="30" customHeight="1">
      <c r="B23" s="495" t="s">
        <v>799</v>
      </c>
      <c r="C23" s="495"/>
      <c r="D23" s="425">
        <v>1</v>
      </c>
      <c r="E23" s="521" t="str">
        <f ca="1">IF(OR($A$2=1),"",TEXT(OP!$C$31*1.06,"#,##0")&amp;"元")</f>
        <v>37,100元</v>
      </c>
      <c r="F23" s="521"/>
      <c r="G23" s="521"/>
      <c r="H23" s="517" t="s">
        <v>821</v>
      </c>
      <c r="I23" s="517"/>
      <c r="J23" s="517"/>
      <c r="K23" s="517"/>
      <c r="L23" s="517"/>
      <c r="M23" s="517"/>
      <c r="N23" s="517"/>
      <c r="O23" s="517"/>
      <c r="P23" s="517"/>
      <c r="Q23" s="517"/>
      <c r="R23" s="517"/>
      <c r="S23" s="517"/>
      <c r="T23" s="517"/>
      <c r="U23" s="517"/>
      <c r="V23" s="9"/>
    </row>
    <row r="24" spans="2:22" ht="30" customHeight="1">
      <c r="B24" s="495"/>
      <c r="C24" s="495"/>
      <c r="D24" s="425" t="s">
        <v>797</v>
      </c>
      <c r="E24" s="521" t="str">
        <f ca="1">IF(OR($A$2=1),"",TEXT(OP!$C$28*10000,"#,##0")&amp;"元")</f>
        <v>1,000,000元</v>
      </c>
      <c r="F24" s="521"/>
      <c r="G24" s="521"/>
      <c r="H24" s="517"/>
      <c r="I24" s="517"/>
      <c r="J24" s="517"/>
      <c r="K24" s="517"/>
      <c r="L24" s="517"/>
      <c r="M24" s="517"/>
      <c r="N24" s="517"/>
      <c r="O24" s="517"/>
      <c r="P24" s="517"/>
      <c r="Q24" s="517"/>
      <c r="R24" s="517"/>
      <c r="S24" s="517"/>
      <c r="T24" s="517"/>
      <c r="U24" s="517"/>
      <c r="V24" s="9"/>
    </row>
    <row r="25" spans="2:22" ht="15" customHeight="1">
      <c r="B25" s="492" t="s">
        <v>802</v>
      </c>
      <c r="C25" s="492"/>
      <c r="D25" s="424">
        <v>2</v>
      </c>
      <c r="E25" s="520" t="str">
        <f ca="1">IF(OR($A$2=1),"",TEXT(OP!$C$28*10000*0.1,"#,##0")&amp;"元")</f>
        <v>100,000元</v>
      </c>
      <c r="F25" s="520"/>
      <c r="G25" s="520"/>
      <c r="H25" s="494" t="s">
        <v>835</v>
      </c>
      <c r="I25" s="494"/>
      <c r="J25" s="494"/>
      <c r="K25" s="494"/>
      <c r="L25" s="494"/>
      <c r="M25" s="494"/>
      <c r="N25" s="494"/>
      <c r="O25" s="494"/>
      <c r="P25" s="494"/>
      <c r="Q25" s="494"/>
      <c r="R25" s="494"/>
      <c r="S25" s="494"/>
      <c r="T25" s="494"/>
      <c r="U25" s="494"/>
      <c r="V25" s="9"/>
    </row>
    <row r="26" spans="2:22" ht="15" customHeight="1">
      <c r="B26" s="492"/>
      <c r="C26" s="492"/>
      <c r="D26" s="424">
        <v>3</v>
      </c>
      <c r="E26" s="520" t="str">
        <f ca="1">IF(OR($A$2=1),"",TEXT(OP!$C$28*10000*0.2,"#,##0")&amp;"元")</f>
        <v>200,000元</v>
      </c>
      <c r="F26" s="520"/>
      <c r="G26" s="520"/>
      <c r="H26" s="494"/>
      <c r="I26" s="494"/>
      <c r="J26" s="494"/>
      <c r="K26" s="494"/>
      <c r="L26" s="494"/>
      <c r="M26" s="494"/>
      <c r="N26" s="494"/>
      <c r="O26" s="494"/>
      <c r="P26" s="494"/>
      <c r="Q26" s="494"/>
      <c r="R26" s="494"/>
      <c r="S26" s="494"/>
      <c r="T26" s="494"/>
      <c r="U26" s="494"/>
      <c r="V26" s="9"/>
    </row>
    <row r="27" spans="2:22" ht="15" customHeight="1">
      <c r="B27" s="492"/>
      <c r="C27" s="492"/>
      <c r="D27" s="424">
        <v>4</v>
      </c>
      <c r="E27" s="520" t="str">
        <f ca="1">IF(OR($A$2=1),"",TEXT(OP!$C$28*10000*0.3,"#,##0")&amp;"元")</f>
        <v>300,000元</v>
      </c>
      <c r="F27" s="520"/>
      <c r="G27" s="520"/>
      <c r="H27" s="494"/>
      <c r="I27" s="494"/>
      <c r="J27" s="494"/>
      <c r="K27" s="494"/>
      <c r="L27" s="494"/>
      <c r="M27" s="494"/>
      <c r="N27" s="494"/>
      <c r="O27" s="494"/>
      <c r="P27" s="494"/>
      <c r="Q27" s="494"/>
      <c r="R27" s="494"/>
      <c r="S27" s="494"/>
      <c r="T27" s="494"/>
      <c r="U27" s="494"/>
      <c r="V27" s="9"/>
    </row>
    <row r="28" spans="2:22" ht="15" customHeight="1">
      <c r="B28" s="492"/>
      <c r="C28" s="492"/>
      <c r="D28" s="424">
        <v>5</v>
      </c>
      <c r="E28" s="520" t="str">
        <f ca="1">IF(OR($A$2=1),"",TEXT(OP!$C$28*10000*0.4,"#,##0")&amp;"元")</f>
        <v>400,000元</v>
      </c>
      <c r="F28" s="520"/>
      <c r="G28" s="520"/>
      <c r="H28" s="494"/>
      <c r="I28" s="494"/>
      <c r="J28" s="494"/>
      <c r="K28" s="494"/>
      <c r="L28" s="494"/>
      <c r="M28" s="494"/>
      <c r="N28" s="494"/>
      <c r="O28" s="494"/>
      <c r="P28" s="494"/>
      <c r="Q28" s="494"/>
      <c r="R28" s="494"/>
      <c r="S28" s="494"/>
      <c r="T28" s="494"/>
      <c r="U28" s="494"/>
      <c r="V28" s="9"/>
    </row>
    <row r="29" spans="2:22" ht="15" customHeight="1">
      <c r="B29" s="492"/>
      <c r="C29" s="492"/>
      <c r="D29" s="424" t="s">
        <v>803</v>
      </c>
      <c r="E29" s="520" t="str">
        <f ca="1">IF(OR($A$2=1),"",TEXT(OP!$C$28*10000*0.5,"#,##0")&amp;"元")</f>
        <v>500,000元</v>
      </c>
      <c r="F29" s="520"/>
      <c r="G29" s="520"/>
      <c r="H29" s="494"/>
      <c r="I29" s="494"/>
      <c r="J29" s="494"/>
      <c r="K29" s="494"/>
      <c r="L29" s="494"/>
      <c r="M29" s="494"/>
      <c r="N29" s="494"/>
      <c r="O29" s="494"/>
      <c r="P29" s="494"/>
      <c r="Q29" s="494"/>
      <c r="R29" s="494"/>
      <c r="S29" s="494"/>
      <c r="T29" s="494"/>
      <c r="U29" s="494"/>
      <c r="V29" s="9"/>
    </row>
    <row r="30" spans="2:22" ht="30" customHeight="1">
      <c r="B30" s="495" t="s">
        <v>786</v>
      </c>
      <c r="C30" s="495"/>
      <c r="D30" s="522" t="s">
        <v>797</v>
      </c>
      <c r="E30" s="521" t="str">
        <f ca="1">IF(OR($A$2=1),"",TEXT(OP!$C$28*10000*0.1,"#,##0")&amp;"元")</f>
        <v>100,000元</v>
      </c>
      <c r="F30" s="521"/>
      <c r="G30" s="521"/>
      <c r="H30" s="518" t="s">
        <v>822</v>
      </c>
      <c r="I30" s="518"/>
      <c r="J30" s="518"/>
      <c r="K30" s="518"/>
      <c r="L30" s="518"/>
      <c r="M30" s="518"/>
      <c r="N30" s="518"/>
      <c r="O30" s="518"/>
      <c r="P30" s="518"/>
      <c r="Q30" s="518"/>
      <c r="R30" s="518"/>
      <c r="S30" s="518"/>
      <c r="T30" s="518"/>
      <c r="U30" s="518"/>
      <c r="V30" s="9"/>
    </row>
    <row r="31" spans="2:22" ht="30" customHeight="1">
      <c r="B31" s="495"/>
      <c r="C31" s="495"/>
      <c r="D31" s="522"/>
      <c r="E31" s="521"/>
      <c r="F31" s="521"/>
      <c r="G31" s="521"/>
      <c r="H31" s="518"/>
      <c r="I31" s="518"/>
      <c r="J31" s="518"/>
      <c r="K31" s="518"/>
      <c r="L31" s="518"/>
      <c r="M31" s="518"/>
      <c r="N31" s="518"/>
      <c r="O31" s="518"/>
      <c r="P31" s="518"/>
      <c r="Q31" s="518"/>
      <c r="R31" s="518"/>
      <c r="S31" s="518"/>
      <c r="T31" s="518"/>
      <c r="U31" s="518"/>
      <c r="V31" s="9"/>
    </row>
    <row r="32" spans="2:22" ht="30" customHeight="1">
      <c r="B32" s="492" t="s">
        <v>787</v>
      </c>
      <c r="C32" s="492"/>
      <c r="D32" s="520" t="str">
        <f ca="1">IF(OR($A$2=1),"",TEXT(OP!$C$28*10000*0.02,"#,##0")&amp;"元")</f>
        <v>20,000元</v>
      </c>
      <c r="E32" s="520"/>
      <c r="F32" s="520"/>
      <c r="G32" s="520"/>
      <c r="H32" s="519" t="s">
        <v>823</v>
      </c>
      <c r="I32" s="519"/>
      <c r="J32" s="519"/>
      <c r="K32" s="519"/>
      <c r="L32" s="519"/>
      <c r="M32" s="519"/>
      <c r="N32" s="519"/>
      <c r="O32" s="519"/>
      <c r="P32" s="519"/>
      <c r="Q32" s="519"/>
      <c r="R32" s="519"/>
      <c r="S32" s="519"/>
      <c r="T32" s="519"/>
      <c r="U32" s="519"/>
      <c r="V32" s="9"/>
    </row>
    <row r="33" spans="1:22" ht="30" customHeight="1">
      <c r="B33" s="492"/>
      <c r="C33" s="492"/>
      <c r="D33" s="520"/>
      <c r="E33" s="520"/>
      <c r="F33" s="520"/>
      <c r="G33" s="520"/>
      <c r="H33" s="519"/>
      <c r="I33" s="519"/>
      <c r="J33" s="519"/>
      <c r="K33" s="519"/>
      <c r="L33" s="519"/>
      <c r="M33" s="519"/>
      <c r="N33" s="519"/>
      <c r="O33" s="519"/>
      <c r="P33" s="519"/>
      <c r="Q33" s="519"/>
      <c r="R33" s="519"/>
      <c r="S33" s="519"/>
      <c r="T33" s="519"/>
      <c r="U33" s="519"/>
      <c r="V33" s="9"/>
    </row>
    <row r="34" spans="1:22" ht="72" customHeight="1">
      <c r="B34" s="512" t="s">
        <v>813</v>
      </c>
      <c r="C34" s="513"/>
      <c r="D34" s="502" t="s">
        <v>826</v>
      </c>
      <c r="E34" s="503"/>
      <c r="F34" s="503"/>
      <c r="G34" s="503"/>
      <c r="H34" s="503"/>
      <c r="I34" s="503"/>
      <c r="J34" s="503"/>
      <c r="K34" s="503"/>
      <c r="L34" s="503"/>
      <c r="M34" s="503"/>
      <c r="N34" s="503"/>
      <c r="O34" s="503"/>
      <c r="P34" s="503"/>
      <c r="Q34" s="503"/>
      <c r="R34" s="503"/>
      <c r="S34" s="503"/>
      <c r="T34" s="503"/>
      <c r="U34" s="504"/>
      <c r="V34" s="9"/>
    </row>
    <row r="35" spans="1:22" ht="72" customHeight="1">
      <c r="B35" s="514"/>
      <c r="C35" s="515"/>
      <c r="D35" s="505"/>
      <c r="E35" s="506"/>
      <c r="F35" s="506"/>
      <c r="G35" s="506"/>
      <c r="H35" s="506"/>
      <c r="I35" s="506"/>
      <c r="J35" s="506"/>
      <c r="K35" s="506"/>
      <c r="L35" s="506"/>
      <c r="M35" s="506"/>
      <c r="N35" s="506"/>
      <c r="O35" s="506"/>
      <c r="P35" s="506"/>
      <c r="Q35" s="506"/>
      <c r="R35" s="506"/>
      <c r="S35" s="506"/>
      <c r="T35" s="506"/>
      <c r="U35" s="507"/>
      <c r="V35" s="9"/>
    </row>
    <row r="36" spans="1:22" ht="24" customHeight="1">
      <c r="B36" s="492" t="s">
        <v>788</v>
      </c>
      <c r="C36" s="492"/>
      <c r="D36" s="493" t="str">
        <f ca="1">IF($A$2=1,"",TEXT(ROUND(VLOOKUP(OP!$C$55,EXP,OP!$C$57+1,0)*OP!$C$28,0),"#,###,##0")&amp;" 元")</f>
        <v>742,000 元</v>
      </c>
      <c r="E36" s="493"/>
      <c r="F36" s="493"/>
      <c r="G36" s="493"/>
      <c r="H36" s="494" t="s">
        <v>820</v>
      </c>
      <c r="I36" s="494"/>
      <c r="J36" s="494"/>
      <c r="K36" s="494"/>
      <c r="L36" s="494"/>
      <c r="M36" s="494"/>
      <c r="N36" s="494"/>
      <c r="O36" s="494"/>
      <c r="P36" s="494"/>
      <c r="Q36" s="494"/>
      <c r="R36" s="494"/>
      <c r="S36" s="494"/>
      <c r="T36" s="494"/>
      <c r="U36" s="494"/>
      <c r="V36" s="9"/>
    </row>
    <row r="37" spans="1:22" ht="24" customHeight="1">
      <c r="B37" s="492"/>
      <c r="C37" s="492"/>
      <c r="D37" s="493"/>
      <c r="E37" s="493"/>
      <c r="F37" s="493"/>
      <c r="G37" s="493"/>
      <c r="H37" s="494"/>
      <c r="I37" s="494"/>
      <c r="J37" s="494"/>
      <c r="K37" s="494"/>
      <c r="L37" s="494"/>
      <c r="M37" s="494"/>
      <c r="N37" s="494"/>
      <c r="O37" s="494"/>
      <c r="P37" s="494"/>
      <c r="Q37" s="494"/>
      <c r="R37" s="494"/>
      <c r="S37" s="494"/>
      <c r="T37" s="494"/>
      <c r="U37" s="494"/>
      <c r="V37" s="9"/>
    </row>
    <row r="38" spans="1:22" ht="36" customHeight="1">
      <c r="B38" s="495" t="s">
        <v>818</v>
      </c>
      <c r="C38" s="495"/>
      <c r="D38" s="496" t="s">
        <v>819</v>
      </c>
      <c r="E38" s="497"/>
      <c r="F38" s="497"/>
      <c r="G38" s="498"/>
      <c r="H38" s="502" t="s">
        <v>830</v>
      </c>
      <c r="I38" s="503"/>
      <c r="J38" s="503"/>
      <c r="K38" s="503"/>
      <c r="L38" s="503"/>
      <c r="M38" s="503"/>
      <c r="N38" s="503"/>
      <c r="O38" s="503"/>
      <c r="P38" s="503"/>
      <c r="Q38" s="503"/>
      <c r="R38" s="503"/>
      <c r="S38" s="503"/>
      <c r="T38" s="503"/>
      <c r="U38" s="504"/>
      <c r="V38" s="9"/>
    </row>
    <row r="39" spans="1:22" ht="36" customHeight="1">
      <c r="B39" s="495"/>
      <c r="C39" s="495"/>
      <c r="D39" s="499"/>
      <c r="E39" s="500"/>
      <c r="F39" s="500"/>
      <c r="G39" s="501"/>
      <c r="H39" s="505"/>
      <c r="I39" s="506"/>
      <c r="J39" s="506"/>
      <c r="K39" s="506"/>
      <c r="L39" s="506"/>
      <c r="M39" s="506"/>
      <c r="N39" s="506"/>
      <c r="O39" s="506"/>
      <c r="P39" s="506"/>
      <c r="Q39" s="506"/>
      <c r="R39" s="506"/>
      <c r="S39" s="506"/>
      <c r="T39" s="506"/>
      <c r="U39" s="507"/>
      <c r="V39" s="9"/>
    </row>
    <row r="40" spans="1:22" ht="12" customHeight="1">
      <c r="B40" s="166" t="s">
        <v>502</v>
      </c>
      <c r="C40" s="418"/>
      <c r="D40" s="420"/>
      <c r="E40" s="420"/>
      <c r="F40" s="420"/>
      <c r="G40" s="420"/>
      <c r="H40" s="418"/>
      <c r="I40" s="418"/>
      <c r="J40" s="418"/>
      <c r="K40" s="418"/>
      <c r="L40" s="418"/>
      <c r="M40" s="418"/>
      <c r="N40" s="418"/>
      <c r="O40" s="418"/>
      <c r="P40" s="418"/>
      <c r="Q40" s="418"/>
      <c r="R40" s="418"/>
      <c r="S40" s="418"/>
      <c r="T40" s="418"/>
      <c r="U40" s="418"/>
      <c r="V40" s="9"/>
    </row>
    <row r="41" spans="1:22" ht="12" customHeight="1">
      <c r="B41" s="418"/>
      <c r="C41" s="418"/>
      <c r="D41" s="420"/>
      <c r="E41" s="420"/>
      <c r="F41" s="420"/>
      <c r="G41" s="420"/>
      <c r="H41" s="418"/>
      <c r="I41" s="418"/>
      <c r="J41" s="418"/>
      <c r="K41" s="418"/>
      <c r="L41" s="418"/>
      <c r="M41" s="418"/>
      <c r="N41" s="418"/>
      <c r="O41" s="418"/>
      <c r="P41" s="418"/>
      <c r="Q41" s="418"/>
      <c r="R41" s="418"/>
      <c r="S41" s="418"/>
      <c r="T41" s="418"/>
      <c r="U41" s="418"/>
      <c r="V41" s="9"/>
    </row>
    <row r="42" spans="1:22" ht="14" customHeight="1">
      <c r="B42" s="374"/>
      <c r="C42" s="377"/>
      <c r="D42" s="375"/>
      <c r="E42" s="378"/>
      <c r="F42" s="378"/>
      <c r="G42" s="378"/>
      <c r="H42" s="376"/>
      <c r="I42" s="376"/>
      <c r="J42" s="376"/>
      <c r="K42" s="376"/>
      <c r="L42" s="376"/>
      <c r="M42" s="376"/>
      <c r="N42" s="376"/>
      <c r="O42" s="376"/>
      <c r="P42" s="376"/>
      <c r="Q42" s="376"/>
      <c r="R42" s="376"/>
      <c r="S42" s="376"/>
      <c r="T42" s="376"/>
      <c r="U42" s="376"/>
      <c r="V42" s="9"/>
    </row>
    <row r="43" spans="1:22" ht="9" customHeight="1">
      <c r="B43" s="374"/>
      <c r="C43" s="377"/>
      <c r="D43" s="375"/>
      <c r="E43" s="378"/>
      <c r="F43" s="378"/>
      <c r="G43" s="378"/>
      <c r="H43" s="376"/>
      <c r="I43" s="376"/>
      <c r="J43" s="376"/>
      <c r="K43" s="376"/>
      <c r="L43" s="376"/>
      <c r="M43" s="376"/>
      <c r="N43" s="376"/>
      <c r="O43" s="376"/>
      <c r="P43" s="376"/>
      <c r="Q43" s="376"/>
      <c r="R43" s="376"/>
      <c r="S43" s="376"/>
      <c r="T43" s="376"/>
      <c r="U43" s="376"/>
      <c r="V43" s="9"/>
    </row>
    <row r="44" spans="1:22" s="25" customFormat="1" ht="14" customHeight="1">
      <c r="A44" s="36">
        <v>1</v>
      </c>
      <c r="B44" s="523" t="str">
        <f>OP!$D$107</f>
        <v>本建議書僅供參考，詳細商品內容及其變更，應以投保當時保單條款內容及本公司核保、保全作業規定為準</v>
      </c>
      <c r="C44" s="523"/>
      <c r="D44" s="523"/>
      <c r="E44" s="523"/>
      <c r="F44" s="523"/>
      <c r="G44" s="523"/>
      <c r="H44" s="523"/>
      <c r="I44" s="523"/>
      <c r="J44" s="523"/>
      <c r="K44" s="523"/>
      <c r="L44" s="523"/>
      <c r="M44" s="523"/>
      <c r="N44" s="523"/>
      <c r="O44" s="523"/>
      <c r="P44" s="523"/>
      <c r="Q44" s="523"/>
      <c r="R44" s="523"/>
      <c r="S44" s="523"/>
      <c r="T44" s="523"/>
      <c r="U44" s="523"/>
      <c r="V44" s="24"/>
    </row>
    <row r="45" spans="1:22" s="25" customFormat="1" ht="14" customHeight="1">
      <c r="B45" s="372"/>
      <c r="C45" s="373"/>
      <c r="D45" s="524" t="str">
        <f>OP!$D$106</f>
        <v xml:space="preserve"> ※本契約條款樣張須於訂立契約前提供要保人至少三日審閱期間</v>
      </c>
      <c r="E45" s="525"/>
      <c r="F45" s="525"/>
      <c r="G45" s="525"/>
      <c r="H45" s="525"/>
      <c r="I45" s="525"/>
      <c r="J45" s="525"/>
      <c r="K45" s="525"/>
      <c r="L45" s="525"/>
      <c r="M45" s="525"/>
      <c r="N45" s="525"/>
      <c r="O45" s="525"/>
      <c r="P45" s="262"/>
      <c r="R45" s="163"/>
      <c r="S45" s="163"/>
      <c r="T45" s="163"/>
      <c r="U45" s="164" t="str">
        <f ca="1">OP!$D$105</f>
        <v>V1.1-1150409 試算日：1150805</v>
      </c>
      <c r="V45" s="24"/>
    </row>
    <row r="46" spans="1:22" s="25" customFormat="1" ht="14" customHeight="1">
      <c r="A46" s="36"/>
      <c r="B46" s="365"/>
      <c r="C46" s="365"/>
      <c r="D46" s="365"/>
      <c r="E46" s="365"/>
      <c r="F46" s="365"/>
      <c r="G46" s="365"/>
      <c r="H46" s="365"/>
      <c r="I46" s="365"/>
      <c r="J46" s="365"/>
      <c r="K46" s="365"/>
      <c r="L46" s="365"/>
      <c r="M46" s="365"/>
      <c r="N46" s="365"/>
      <c r="O46" s="365"/>
      <c r="P46" s="365"/>
      <c r="Q46" s="365"/>
      <c r="R46" s="365"/>
      <c r="S46" s="365"/>
      <c r="T46" s="365"/>
      <c r="U46" s="345" t="str">
        <f>IF(OP!$C$105="停售","本商品已停售","")</f>
        <v/>
      </c>
      <c r="V46" s="24"/>
    </row>
    <row r="47" spans="1:22" ht="12" customHeight="1">
      <c r="B47" s="381"/>
      <c r="C47" s="381"/>
      <c r="D47" s="379"/>
      <c r="E47" s="380"/>
      <c r="F47" s="380"/>
      <c r="G47" s="379"/>
      <c r="H47" s="380"/>
      <c r="I47" s="380"/>
      <c r="J47" s="380"/>
      <c r="K47" s="379"/>
      <c r="L47" s="380"/>
      <c r="M47" s="380"/>
      <c r="N47" s="380"/>
      <c r="O47" s="379"/>
      <c r="P47" s="380"/>
      <c r="Q47" s="380"/>
      <c r="R47" s="380"/>
      <c r="S47" s="379"/>
      <c r="T47" s="380"/>
      <c r="U47" s="344" t="s">
        <v>505</v>
      </c>
      <c r="V47" s="9"/>
    </row>
    <row r="48" spans="1:22" ht="30" customHeight="1">
      <c r="B48" s="421" t="s">
        <v>307</v>
      </c>
      <c r="C48" s="421" t="s">
        <v>0</v>
      </c>
      <c r="D48" s="508" t="s">
        <v>824</v>
      </c>
      <c r="E48" s="509"/>
      <c r="F48" s="508" t="s">
        <v>825</v>
      </c>
      <c r="G48" s="510"/>
      <c r="H48" s="509"/>
      <c r="I48" s="511" t="s">
        <v>301</v>
      </c>
      <c r="J48" s="511"/>
      <c r="K48" s="511"/>
      <c r="L48" s="421" t="s">
        <v>307</v>
      </c>
      <c r="M48" s="421" t="s">
        <v>0</v>
      </c>
      <c r="N48" s="508" t="s">
        <v>824</v>
      </c>
      <c r="O48" s="509"/>
      <c r="P48" s="508" t="s">
        <v>825</v>
      </c>
      <c r="Q48" s="510"/>
      <c r="R48" s="509"/>
      <c r="S48" s="511" t="s">
        <v>301</v>
      </c>
      <c r="T48" s="511"/>
      <c r="U48" s="511"/>
      <c r="V48" s="9"/>
    </row>
    <row r="49" spans="2:22" s="25" customFormat="1" ht="12" customHeight="1">
      <c r="B49" s="209">
        <v>1</v>
      </c>
      <c r="C49" s="209">
        <f ca="1">IF($A$2=1,"",OP!$D$5)</f>
        <v>39</v>
      </c>
      <c r="D49" s="486">
        <f ca="1">IF(OR($A$2=1,$B49&gt;OP!$C$24),"",OP!$C$51)</f>
        <v>34650</v>
      </c>
      <c r="E49" s="487"/>
      <c r="F49" s="486">
        <f ca="1">IF(OR($A$2=1,$B49=""),"",N($D49))</f>
        <v>34650</v>
      </c>
      <c r="G49" s="488"/>
      <c r="H49" s="487"/>
      <c r="I49" s="489">
        <f ca="1">IF(OR($A$2=1,$B49=""),"",VLOOKUP(OP!$C$55,DIE,$B49+1,0)*OP!$C$28)</f>
        <v>37100</v>
      </c>
      <c r="J49" s="489"/>
      <c r="K49" s="489"/>
      <c r="L49" s="209" t="str">
        <f ca="1">IF(OR(C106&gt;=OP!F57,C106=""),"",B106+1)</f>
        <v/>
      </c>
      <c r="M49" s="209" t="str">
        <f ca="1">IF(L49="","",C106+1)</f>
        <v/>
      </c>
      <c r="N49" s="486" t="str">
        <f ca="1">IF(OR($A$2=1,$L49&gt;OP!$C$24),"",OP!$C$52)</f>
        <v/>
      </c>
      <c r="O49" s="487"/>
      <c r="P49" s="486" t="str">
        <f ca="1">IF(OR($A$2=1,$L49=""),"",N($N49)+N($F106))</f>
        <v/>
      </c>
      <c r="Q49" s="488"/>
      <c r="R49" s="487"/>
      <c r="S49" s="489" t="str">
        <f ca="1">IF(OR($A$2=1,$L49=""),"",VLOOKUP(OP!$C$55,DIE,$L49+1,0)*OP!$C$28)</f>
        <v/>
      </c>
      <c r="T49" s="489"/>
      <c r="U49" s="489"/>
      <c r="V49" s="24"/>
    </row>
    <row r="50" spans="2:22" s="25" customFormat="1" ht="12" customHeight="1">
      <c r="B50" s="209">
        <f ca="1">IF(OR(C49&gt;=OP!F$57,C49=""),"",IF(C49+1&gt;OP!$F$57,OP!$F$57+1-$C$49,B49+1))</f>
        <v>2</v>
      </c>
      <c r="C50" s="209">
        <f ca="1">IF(OR($A$2=1,MAX($C$49:C49)&gt;=OP!$F$57),"",C49+(B50-B49))</f>
        <v>40</v>
      </c>
      <c r="D50" s="490">
        <f ca="1">IF(OR($A$2=1,$B50&gt;OP!$C$24),"",OP!$C$52)</f>
        <v>34650</v>
      </c>
      <c r="E50" s="491"/>
      <c r="F50" s="486">
        <f t="shared" ref="F50:F81" ca="1" si="0">IF(OR($A$2=1,$B50=""),"",N($F49)+N($D50))</f>
        <v>69300</v>
      </c>
      <c r="G50" s="488"/>
      <c r="H50" s="487"/>
      <c r="I50" s="489">
        <f ca="1">IF(OR($A$2=1,$B50=""),"",VLOOKUP(OP!$C$55,DIE,$B50+1,0)*OP!$C$28)</f>
        <v>74200</v>
      </c>
      <c r="J50" s="489"/>
      <c r="K50" s="489"/>
      <c r="L50" s="209" t="str">
        <f ca="1">IF(OR(M49&gt;=OP!F57,L49=""),"",L49+1)</f>
        <v/>
      </c>
      <c r="M50" s="209" t="str">
        <f ca="1">IF(L50="","",M49+1)</f>
        <v/>
      </c>
      <c r="N50" s="486" t="str">
        <f ca="1">IF(OR($A$2=1,$L50&gt;OP!$C$24),"",OP!$C$52)</f>
        <v/>
      </c>
      <c r="O50" s="487"/>
      <c r="P50" s="486" t="str">
        <f ca="1">IF(OR($A$2=1,$L50=""),"",N($N49)+N($P49))</f>
        <v/>
      </c>
      <c r="Q50" s="488"/>
      <c r="R50" s="487"/>
      <c r="S50" s="489" t="str">
        <f ca="1">IF(OR($A$2=1,$L50=""),"",VLOOKUP(OP!$C$55,DIE,$L50+1,0)*OP!$C$28)</f>
        <v/>
      </c>
      <c r="T50" s="489"/>
      <c r="U50" s="489"/>
      <c r="V50" s="24"/>
    </row>
    <row r="51" spans="2:22" s="25" customFormat="1" ht="12" customHeight="1">
      <c r="B51" s="209">
        <f ca="1">IF(OR(C50&gt;=OP!F$57,C50=""),"",IF(C50+1&gt;OP!$F$57,OP!$F$57+1-$C$49,B50+1))</f>
        <v>3</v>
      </c>
      <c r="C51" s="209">
        <f ca="1">IF(OR($A$2=1,MAX($C$49:C50)&gt;=OP!$F$57),"",C50+(B51-B50))</f>
        <v>41</v>
      </c>
      <c r="D51" s="490">
        <f ca="1">IF(OR($A$2=1,$B51&gt;OP!$C$24),"",OP!$C$52)</f>
        <v>34650</v>
      </c>
      <c r="E51" s="491"/>
      <c r="F51" s="486">
        <f t="shared" ca="1" si="0"/>
        <v>103950</v>
      </c>
      <c r="G51" s="488"/>
      <c r="H51" s="487"/>
      <c r="I51" s="489">
        <f ca="1">IF(OR($A$2=1,$B51=""),"",VLOOKUP(OP!$C$55,DIE,$B51+1,0)*OP!$C$28)</f>
        <v>111300</v>
      </c>
      <c r="J51" s="489"/>
      <c r="K51" s="489"/>
      <c r="L51" s="209" t="str">
        <f ca="1">IF(OR(M50&gt;=OP!F57,L50=""),"",L50+1)</f>
        <v/>
      </c>
      <c r="M51" s="209" t="str">
        <f t="shared" ref="M51:M61" ca="1" si="1">IF(L51="","",M50+1)</f>
        <v/>
      </c>
      <c r="N51" s="486" t="str">
        <f ca="1">IF(OR($A$2=1,$L51&gt;OP!$C$24),"",OP!$C$52)</f>
        <v/>
      </c>
      <c r="O51" s="487"/>
      <c r="P51" s="486" t="str">
        <f t="shared" ref="P51:P67" ca="1" si="2">IF(OR($A$2=1,$L51=""),"",N($N50)+N($P50))</f>
        <v/>
      </c>
      <c r="Q51" s="488"/>
      <c r="R51" s="487"/>
      <c r="S51" s="489" t="str">
        <f ca="1">IF(OR($A$2=1,$L51=""),"",VLOOKUP(OP!$C$55,DIE,$L51+1,0)*OP!$C$28)</f>
        <v/>
      </c>
      <c r="T51" s="489"/>
      <c r="U51" s="489"/>
      <c r="V51" s="24"/>
    </row>
    <row r="52" spans="2:22" s="22" customFormat="1" ht="13" customHeight="1">
      <c r="B52" s="209">
        <f ca="1">IF(OR(C51&gt;=OP!F$57,C51=""),"",IF(C51+1&gt;OP!$F$57,OP!$F$57+1-$C$49,B51+1))</f>
        <v>4</v>
      </c>
      <c r="C52" s="209">
        <f ca="1">IF(OR($A$2=1,MAX($C$49:C51)&gt;=OP!$F$57),"",C51+(B52-B51))</f>
        <v>42</v>
      </c>
      <c r="D52" s="490">
        <f ca="1">IF(OR($A$2=1,$B52&gt;OP!$C$24),"",OP!$C$52)</f>
        <v>34650</v>
      </c>
      <c r="E52" s="491"/>
      <c r="F52" s="486">
        <f t="shared" ca="1" si="0"/>
        <v>138600</v>
      </c>
      <c r="G52" s="488"/>
      <c r="H52" s="487"/>
      <c r="I52" s="489">
        <f ca="1">IF(OR($A$2=1,$B52=""),"",VLOOKUP(OP!$C$55,DIE,$B52+1,0)*OP!$C$28)</f>
        <v>148400</v>
      </c>
      <c r="J52" s="489"/>
      <c r="K52" s="489"/>
      <c r="L52" s="209" t="str">
        <f ca="1">IF(OR(M51&gt;=OP!F57,L51=""),"",L51+1)</f>
        <v/>
      </c>
      <c r="M52" s="209" t="str">
        <f t="shared" ca="1" si="1"/>
        <v/>
      </c>
      <c r="N52" s="486" t="str">
        <f ca="1">IF(OR($A$2=1,$L52&gt;OP!$C$24),"",OP!$C$52)</f>
        <v/>
      </c>
      <c r="O52" s="487"/>
      <c r="P52" s="486" t="str">
        <f t="shared" ca="1" si="2"/>
        <v/>
      </c>
      <c r="Q52" s="488"/>
      <c r="R52" s="487"/>
      <c r="S52" s="489" t="str">
        <f ca="1">IF(OR($A$2=1,$L52=""),"",VLOOKUP(OP!$C$55,DIE,$L52+1,0)*OP!$C$28)</f>
        <v/>
      </c>
      <c r="T52" s="489"/>
      <c r="U52" s="489"/>
      <c r="V52" s="23"/>
    </row>
    <row r="53" spans="2:22" s="22" customFormat="1" ht="13" customHeight="1">
      <c r="B53" s="209">
        <f ca="1">IF(OR(C52&gt;=OP!F$57,C52=""),"",IF(C52+1&gt;OP!$F$57,OP!$F$57+1-$C$49,B52+1))</f>
        <v>5</v>
      </c>
      <c r="C53" s="209">
        <f ca="1">IF(OR($A$2=1,MAX($C$49:C52)&gt;=OP!$F$57),"",C52+(B53-B52))</f>
        <v>43</v>
      </c>
      <c r="D53" s="490">
        <f ca="1">IF(OR($A$2=1,$B53&gt;OP!$C$24),"",OP!$C$52)</f>
        <v>34650</v>
      </c>
      <c r="E53" s="491"/>
      <c r="F53" s="486">
        <f t="shared" ca="1" si="0"/>
        <v>173250</v>
      </c>
      <c r="G53" s="488"/>
      <c r="H53" s="487"/>
      <c r="I53" s="489">
        <f ca="1">IF(OR($A$2=1,$B53=""),"",VLOOKUP(OP!$C$55,DIE,$B53+1,0)*OP!$C$28)</f>
        <v>185500</v>
      </c>
      <c r="J53" s="489"/>
      <c r="K53" s="489"/>
      <c r="L53" s="209" t="str">
        <f ca="1">IF(OR(M52&gt;=OP!F57,L52=""),"",L52+1)</f>
        <v/>
      </c>
      <c r="M53" s="209" t="str">
        <f t="shared" ca="1" si="1"/>
        <v/>
      </c>
      <c r="N53" s="486" t="str">
        <f ca="1">IF(OR($A$2=1,$L53&gt;OP!$C$24),"",OP!$C$52)</f>
        <v/>
      </c>
      <c r="O53" s="487"/>
      <c r="P53" s="486" t="str">
        <f t="shared" ca="1" si="2"/>
        <v/>
      </c>
      <c r="Q53" s="488"/>
      <c r="R53" s="487"/>
      <c r="S53" s="489" t="str">
        <f ca="1">IF(OR($A$2=1,$L53=""),"",VLOOKUP(OP!$C$55,DIE,$L53+1,0)*OP!$C$28)</f>
        <v/>
      </c>
      <c r="T53" s="489"/>
      <c r="U53" s="489"/>
      <c r="V53" s="23"/>
    </row>
    <row r="54" spans="2:22" s="22" customFormat="1" ht="13" customHeight="1">
      <c r="B54" s="209">
        <f ca="1">IF(OR(C53&gt;=OP!F$57,C53=""),"",IF(C53+1&gt;OP!$F$57,OP!$F$57+1-$C$49,B53+1))</f>
        <v>6</v>
      </c>
      <c r="C54" s="209">
        <f ca="1">IF(OR($A$2=1,MAX($C$49:C53)&gt;=OP!$F$57),"",C53+(B54-B53))</f>
        <v>44</v>
      </c>
      <c r="D54" s="490">
        <f ca="1">IF(OR($A$2=1,$B54&gt;OP!$C$24),"",OP!$C$52)</f>
        <v>34650</v>
      </c>
      <c r="E54" s="491"/>
      <c r="F54" s="486">
        <f t="shared" ca="1" si="0"/>
        <v>207900</v>
      </c>
      <c r="G54" s="488"/>
      <c r="H54" s="487"/>
      <c r="I54" s="489">
        <f ca="1">IF(OR($A$2=1,$B54=""),"",VLOOKUP(OP!$C$55,DIE,$B54+1,0)*OP!$C$28)</f>
        <v>222600</v>
      </c>
      <c r="J54" s="489"/>
      <c r="K54" s="489"/>
      <c r="L54" s="209" t="str">
        <f ca="1">IF(OR(M53&gt;=OP!F57,L53=""),"",L53+1)</f>
        <v/>
      </c>
      <c r="M54" s="209" t="str">
        <f t="shared" ca="1" si="1"/>
        <v/>
      </c>
      <c r="N54" s="486" t="str">
        <f ca="1">IF(OR($A$2=1,$L54&gt;OP!$C$24),"",OP!$C$52)</f>
        <v/>
      </c>
      <c r="O54" s="487"/>
      <c r="P54" s="486" t="str">
        <f t="shared" ca="1" si="2"/>
        <v/>
      </c>
      <c r="Q54" s="488"/>
      <c r="R54" s="487"/>
      <c r="S54" s="489" t="str">
        <f ca="1">IF(OR($A$2=1,$L54=""),"",VLOOKUP(OP!$C$55,DIE,$L54+1,0)*OP!$C$28)</f>
        <v/>
      </c>
      <c r="T54" s="489"/>
      <c r="U54" s="489"/>
      <c r="V54" s="23"/>
    </row>
    <row r="55" spans="2:22" s="22" customFormat="1" ht="13" customHeight="1">
      <c r="B55" s="209">
        <f ca="1">IF(OR(C54&gt;=OP!F$57,C54=""),"",IF(C54+1&gt;OP!$F$57,OP!$F$57+1-$C$49,B54+1))</f>
        <v>7</v>
      </c>
      <c r="C55" s="209">
        <f ca="1">IF(OR($A$2=1,MAX($C$49:C54)&gt;=OP!$F$57),"",C54+(B55-B54))</f>
        <v>45</v>
      </c>
      <c r="D55" s="490">
        <f ca="1">IF(OR($A$2=1,$B55&gt;OP!$C$24),"",OP!$C$52)</f>
        <v>34650</v>
      </c>
      <c r="E55" s="491"/>
      <c r="F55" s="486">
        <f t="shared" ca="1" si="0"/>
        <v>242550</v>
      </c>
      <c r="G55" s="488"/>
      <c r="H55" s="487"/>
      <c r="I55" s="489">
        <f ca="1">IF(OR($A$2=1,$B55=""),"",VLOOKUP(OP!$C$55,DIE,$B55+1,0)*OP!$C$28)</f>
        <v>259700</v>
      </c>
      <c r="J55" s="489"/>
      <c r="K55" s="489"/>
      <c r="L55" s="209" t="str">
        <f ca="1">IF(OR(M54&gt;=OP!F57,L54=""),"",L54+1)</f>
        <v/>
      </c>
      <c r="M55" s="209" t="str">
        <f t="shared" ca="1" si="1"/>
        <v/>
      </c>
      <c r="N55" s="486" t="str">
        <f ca="1">IF(OR($A$2=1,$L55&gt;OP!$C$24),"",OP!$C$52)</f>
        <v/>
      </c>
      <c r="O55" s="487"/>
      <c r="P55" s="486" t="str">
        <f t="shared" ca="1" si="2"/>
        <v/>
      </c>
      <c r="Q55" s="488"/>
      <c r="R55" s="487"/>
      <c r="S55" s="489" t="str">
        <f ca="1">IF(OR($A$2=1,$L55=""),"",VLOOKUP(OP!$C$55,DIE,$L55+1,0)*OP!$C$28)</f>
        <v/>
      </c>
      <c r="T55" s="489"/>
      <c r="U55" s="489"/>
      <c r="V55" s="23"/>
    </row>
    <row r="56" spans="2:22" s="22" customFormat="1" ht="13" customHeight="1">
      <c r="B56" s="209">
        <f ca="1">IF(OR(C55&gt;=OP!F$57,C55=""),"",IF(C55+1&gt;OP!$F$57,OP!$F$57+1-$C$49,B55+1))</f>
        <v>8</v>
      </c>
      <c r="C56" s="209">
        <f ca="1">IF(OR($A$2=1,MAX($C$49:C55)&gt;=OP!$F$57),"",C55+(B56-B55))</f>
        <v>46</v>
      </c>
      <c r="D56" s="490">
        <f ca="1">IF(OR($A$2=1,$B56&gt;OP!$C$24),"",OP!$C$52)</f>
        <v>34650</v>
      </c>
      <c r="E56" s="491"/>
      <c r="F56" s="486">
        <f t="shared" ca="1" si="0"/>
        <v>277200</v>
      </c>
      <c r="G56" s="488"/>
      <c r="H56" s="487"/>
      <c r="I56" s="489">
        <f ca="1">IF(OR($A$2=1,$B56=""),"",VLOOKUP(OP!$C$55,DIE,$B56+1,0)*OP!$C$28)</f>
        <v>296800</v>
      </c>
      <c r="J56" s="489"/>
      <c r="K56" s="489"/>
      <c r="L56" s="209" t="str">
        <f ca="1">IF(OR(M55&gt;=OP!F57,L55=""),"",L55+1)</f>
        <v/>
      </c>
      <c r="M56" s="209" t="str">
        <f t="shared" ca="1" si="1"/>
        <v/>
      </c>
      <c r="N56" s="486" t="str">
        <f ca="1">IF(OR($A$2=1,$L56&gt;OP!$C$24),"",OP!$C$52)</f>
        <v/>
      </c>
      <c r="O56" s="487"/>
      <c r="P56" s="486" t="str">
        <f t="shared" ca="1" si="2"/>
        <v/>
      </c>
      <c r="Q56" s="488"/>
      <c r="R56" s="487"/>
      <c r="S56" s="489" t="str">
        <f ca="1">IF(OR($A$2=1,$L56=""),"",VLOOKUP(OP!$C$55,DIE,$L56+1,0)*OP!$C$28)</f>
        <v/>
      </c>
      <c r="T56" s="489"/>
      <c r="U56" s="489"/>
      <c r="V56" s="23"/>
    </row>
    <row r="57" spans="2:22" s="22" customFormat="1" ht="13" customHeight="1">
      <c r="B57" s="209">
        <f ca="1">IF(OR(C56&gt;=OP!F$57,C56=""),"",IF(C56+1&gt;OP!$F$57,OP!$F$57+1-$C$49,B56+1))</f>
        <v>9</v>
      </c>
      <c r="C57" s="209">
        <f ca="1">IF(OR($A$2=1,MAX($C$49:C56)&gt;=OP!$F$57),"",C56+(B57-B56))</f>
        <v>47</v>
      </c>
      <c r="D57" s="490">
        <f ca="1">IF(OR($A$2=1,$B57&gt;OP!$C$24),"",OP!$C$52)</f>
        <v>34650</v>
      </c>
      <c r="E57" s="491"/>
      <c r="F57" s="486">
        <f t="shared" ca="1" si="0"/>
        <v>311850</v>
      </c>
      <c r="G57" s="488"/>
      <c r="H57" s="487"/>
      <c r="I57" s="489">
        <f ca="1">IF(OR($A$2=1,$B57=""),"",VLOOKUP(OP!$C$55,DIE,$B57+1,0)*OP!$C$28)</f>
        <v>333900</v>
      </c>
      <c r="J57" s="489"/>
      <c r="K57" s="489"/>
      <c r="L57" s="209" t="str">
        <f ca="1">IF(OR(M56&gt;=OP!F57,L56=""),"",L56+1)</f>
        <v/>
      </c>
      <c r="M57" s="209" t="str">
        <f t="shared" ca="1" si="1"/>
        <v/>
      </c>
      <c r="N57" s="486" t="str">
        <f ca="1">IF(OR($A$2=1,$L57&gt;OP!$C$24),"",OP!$C$52)</f>
        <v/>
      </c>
      <c r="O57" s="487"/>
      <c r="P57" s="486" t="str">
        <f t="shared" ca="1" si="2"/>
        <v/>
      </c>
      <c r="Q57" s="488"/>
      <c r="R57" s="487"/>
      <c r="S57" s="489" t="str">
        <f ca="1">IF(OR($A$2=1,$L57=""),"",VLOOKUP(OP!$C$55,DIE,$L57+1,0)*OP!$C$28)</f>
        <v/>
      </c>
      <c r="T57" s="489"/>
      <c r="U57" s="489"/>
      <c r="V57" s="23"/>
    </row>
    <row r="58" spans="2:22" s="22" customFormat="1" ht="13" customHeight="1">
      <c r="B58" s="209">
        <f ca="1">IF(OR(C57&gt;=OP!F$57,C57=""),"",IF(C57+1&gt;OP!$F$57,OP!$F$57+1-$C$49,B57+1))</f>
        <v>10</v>
      </c>
      <c r="C58" s="209">
        <f ca="1">IF(OR($A$2=1,MAX($C$49:C57)&gt;=OP!$F$57),"",C57+(B58-B57))</f>
        <v>48</v>
      </c>
      <c r="D58" s="490">
        <f ca="1">IF(OR($A$2=1,$B58&gt;OP!$C$24),"",OP!$C$52)</f>
        <v>34650</v>
      </c>
      <c r="E58" s="491"/>
      <c r="F58" s="486">
        <f t="shared" ca="1" si="0"/>
        <v>346500</v>
      </c>
      <c r="G58" s="488"/>
      <c r="H58" s="487"/>
      <c r="I58" s="489">
        <f ca="1">IF(OR($A$2=1,$B58=""),"",VLOOKUP(OP!$C$55,DIE,$B58+1,0)*OP!$C$28)</f>
        <v>371000</v>
      </c>
      <c r="J58" s="489"/>
      <c r="K58" s="489"/>
      <c r="L58" s="209" t="str">
        <f ca="1">IF(OR(M57&gt;=OP!F57,L57=""),"",L57+1)</f>
        <v/>
      </c>
      <c r="M58" s="209" t="str">
        <f t="shared" ca="1" si="1"/>
        <v/>
      </c>
      <c r="N58" s="486" t="str">
        <f ca="1">IF(OR($A$2=1,$L58&gt;OP!$C$24),"",OP!$C$52)</f>
        <v/>
      </c>
      <c r="O58" s="487"/>
      <c r="P58" s="486" t="str">
        <f t="shared" ca="1" si="2"/>
        <v/>
      </c>
      <c r="Q58" s="488"/>
      <c r="R58" s="487"/>
      <c r="S58" s="489" t="str">
        <f ca="1">IF(OR($A$2=1,$L58=""),"",VLOOKUP(OP!$C$55,DIE,$L58+1,0)*OP!$C$28)</f>
        <v/>
      </c>
      <c r="T58" s="489"/>
      <c r="U58" s="489"/>
      <c r="V58" s="23"/>
    </row>
    <row r="59" spans="2:22" s="22" customFormat="1" ht="13" customHeight="1">
      <c r="B59" s="209">
        <f ca="1">IF(OR(C58&gt;=OP!F$57,C58=""),"",IF(C58+1&gt;OP!$F$57,OP!$F$57+1-$C$49,B58+1))</f>
        <v>11</v>
      </c>
      <c r="C59" s="209">
        <f ca="1">IF(OR($A$2=1,MAX($C$49:C58)&gt;=OP!$F$57),"",C58+(B59-B58))</f>
        <v>49</v>
      </c>
      <c r="D59" s="490">
        <f ca="1">IF(OR($A$2=1,$B59&gt;OP!$C$24),"",OP!$C$52)</f>
        <v>34650</v>
      </c>
      <c r="E59" s="491"/>
      <c r="F59" s="486">
        <f t="shared" ca="1" si="0"/>
        <v>381150</v>
      </c>
      <c r="G59" s="488"/>
      <c r="H59" s="487"/>
      <c r="I59" s="489">
        <f ca="1">IF(OR($A$2=1,$B59=""),"",VLOOKUP(OP!$C$55,DIE,$B59+1,0)*OP!$C$28)</f>
        <v>408100</v>
      </c>
      <c r="J59" s="489"/>
      <c r="K59" s="489"/>
      <c r="L59" s="209" t="str">
        <f ca="1">IF(OR(M58&gt;=OP!F57,L58=""),"",L58+1)</f>
        <v/>
      </c>
      <c r="M59" s="209" t="str">
        <f t="shared" ca="1" si="1"/>
        <v/>
      </c>
      <c r="N59" s="486" t="str">
        <f ca="1">IF(OR($A$2=1,$L59&gt;OP!$C$24),"",OP!$C$52)</f>
        <v/>
      </c>
      <c r="O59" s="487"/>
      <c r="P59" s="486" t="str">
        <f t="shared" ca="1" si="2"/>
        <v/>
      </c>
      <c r="Q59" s="488"/>
      <c r="R59" s="487"/>
      <c r="S59" s="489" t="str">
        <f ca="1">IF(OR($A$2=1,$L59=""),"",VLOOKUP(OP!$C$55,DIE,$L59+1,0)*OP!$C$28)</f>
        <v/>
      </c>
      <c r="T59" s="489"/>
      <c r="U59" s="489"/>
      <c r="V59" s="23"/>
    </row>
    <row r="60" spans="2:22" s="22" customFormat="1" ht="13" customHeight="1">
      <c r="B60" s="209">
        <f ca="1">IF(OR(C59&gt;=OP!F$57,C59=""),"",IF(C59+1&gt;OP!$F$57,OP!$F$57+1-$C$49,B59+1))</f>
        <v>12</v>
      </c>
      <c r="C60" s="209">
        <f ca="1">IF(OR($A$2=1,MAX($C$49:C59)&gt;=OP!$F$57),"",C59+(B60-B59))</f>
        <v>50</v>
      </c>
      <c r="D60" s="490">
        <f ca="1">IF(OR($A$2=1,$B60&gt;OP!$C$24),"",OP!$C$52)</f>
        <v>34650</v>
      </c>
      <c r="E60" s="491"/>
      <c r="F60" s="486">
        <f t="shared" ca="1" si="0"/>
        <v>415800</v>
      </c>
      <c r="G60" s="488"/>
      <c r="H60" s="487"/>
      <c r="I60" s="489">
        <f ca="1">IF(OR($A$2=1,$B60=""),"",VLOOKUP(OP!$C$55,DIE,$B60+1,0)*OP!$C$28)</f>
        <v>445200</v>
      </c>
      <c r="J60" s="489"/>
      <c r="K60" s="489"/>
      <c r="L60" s="209" t="str">
        <f ca="1">IF(OR(M59&gt;=OP!F57,L59=""),"",L59+1)</f>
        <v/>
      </c>
      <c r="M60" s="209" t="str">
        <f t="shared" ca="1" si="1"/>
        <v/>
      </c>
      <c r="N60" s="486" t="str">
        <f ca="1">IF(OR($A$2=1,$L60&gt;OP!$C$24),"",OP!$C$52)</f>
        <v/>
      </c>
      <c r="O60" s="487"/>
      <c r="P60" s="486" t="str">
        <f t="shared" ca="1" si="2"/>
        <v/>
      </c>
      <c r="Q60" s="488"/>
      <c r="R60" s="487"/>
      <c r="S60" s="489" t="str">
        <f ca="1">IF(OR($A$2=1,$L60=""),"",VLOOKUP(OP!$C$55,DIE,$L60+1,0)*OP!$C$28)</f>
        <v/>
      </c>
      <c r="T60" s="489"/>
      <c r="U60" s="489"/>
      <c r="V60" s="23"/>
    </row>
    <row r="61" spans="2:22" s="22" customFormat="1" ht="13" customHeight="1">
      <c r="B61" s="209">
        <f ca="1">IF(OR(C60&gt;=OP!F$57,C60=""),"",IF(C60+1&gt;OP!$F$57,OP!$F$57+1-$C$49,B60+1))</f>
        <v>13</v>
      </c>
      <c r="C61" s="209">
        <f ca="1">IF(OR($A$2=1,MAX($C$49:C60)&gt;=OP!$F$57),"",C60+(B61-B60))</f>
        <v>51</v>
      </c>
      <c r="D61" s="490">
        <f ca="1">IF(OR($A$2=1,$B61&gt;OP!$C$24),"",OP!$C$52)</f>
        <v>34650</v>
      </c>
      <c r="E61" s="491"/>
      <c r="F61" s="486">
        <f t="shared" ca="1" si="0"/>
        <v>450450</v>
      </c>
      <c r="G61" s="488"/>
      <c r="H61" s="487"/>
      <c r="I61" s="489">
        <f ca="1">IF(OR($A$2=1,$B61=""),"",VLOOKUP(OP!$C$55,DIE,$B61+1,0)*OP!$C$28)</f>
        <v>482300</v>
      </c>
      <c r="J61" s="489"/>
      <c r="K61" s="489"/>
      <c r="L61" s="209" t="str">
        <f ca="1">IF(OR(M60&gt;=OP!F57,L60=""),"",L60+1)</f>
        <v/>
      </c>
      <c r="M61" s="209" t="str">
        <f t="shared" ca="1" si="1"/>
        <v/>
      </c>
      <c r="N61" s="486" t="str">
        <f ca="1">IF(OR($A$2=1,$L61&gt;OP!$C$24),"",OP!$C$52)</f>
        <v/>
      </c>
      <c r="O61" s="487"/>
      <c r="P61" s="486" t="str">
        <f t="shared" ca="1" si="2"/>
        <v/>
      </c>
      <c r="Q61" s="488"/>
      <c r="R61" s="487"/>
      <c r="S61" s="489" t="str">
        <f ca="1">IF(OR($A$2=1,$L61=""),"",VLOOKUP(OP!$C$55,DIE,$L61+1,0)*OP!$C$28)</f>
        <v/>
      </c>
      <c r="T61" s="489"/>
      <c r="U61" s="489"/>
      <c r="V61" s="23"/>
    </row>
    <row r="62" spans="2:22" s="22" customFormat="1" ht="13" customHeight="1">
      <c r="B62" s="209">
        <f ca="1">IF(OR(C61&gt;=OP!F$57,C61=""),"",IF(C61+1&gt;OP!$F$57,OP!$F$57+1-$C$49,B61+1))</f>
        <v>14</v>
      </c>
      <c r="C62" s="209">
        <f ca="1">IF(OR($A$2=1,MAX($C$49:C61)&gt;=OP!$F$57),"",C61+(B62-B61))</f>
        <v>52</v>
      </c>
      <c r="D62" s="490">
        <f ca="1">IF(OR($A$2=1,$B62&gt;OP!$C$24),"",OP!$C$52)</f>
        <v>34650</v>
      </c>
      <c r="E62" s="491"/>
      <c r="F62" s="486">
        <f t="shared" ca="1" si="0"/>
        <v>485100</v>
      </c>
      <c r="G62" s="488"/>
      <c r="H62" s="487"/>
      <c r="I62" s="489">
        <f ca="1">IF(OR($A$2=1,$B62=""),"",VLOOKUP(OP!$C$55,DIE,$B62+1,0)*OP!$C$28)</f>
        <v>519400</v>
      </c>
      <c r="J62" s="489"/>
      <c r="K62" s="489"/>
      <c r="L62" s="209" t="str">
        <f ca="1">IF(OR(M61&gt;=OP!F57,L61=""),"",L61+1)</f>
        <v/>
      </c>
      <c r="M62" s="209" t="str">
        <f ca="1">IF(L62="","",M61+1)</f>
        <v/>
      </c>
      <c r="N62" s="486" t="str">
        <f ca="1">IF(OR($A$2=1,$L62&gt;OP!$C$24),"",OP!$C$52)</f>
        <v/>
      </c>
      <c r="O62" s="487"/>
      <c r="P62" s="486" t="str">
        <f t="shared" ca="1" si="2"/>
        <v/>
      </c>
      <c r="Q62" s="488"/>
      <c r="R62" s="487"/>
      <c r="S62" s="489" t="str">
        <f ca="1">IF(OR($A$2=1,$L62=""),"",VLOOKUP(OP!$C$55,DIE,$L62+1,0)*OP!$C$28)</f>
        <v/>
      </c>
      <c r="T62" s="489"/>
      <c r="U62" s="489"/>
      <c r="V62" s="23"/>
    </row>
    <row r="63" spans="2:22" s="22" customFormat="1" ht="13" customHeight="1">
      <c r="B63" s="209">
        <f ca="1">IF(OR(C62&gt;=OP!F$57,C62=""),"",IF(C62+1&gt;OP!$F$57,OP!$F$57+1-$C$49,B62+1))</f>
        <v>15</v>
      </c>
      <c r="C63" s="209">
        <f ca="1">IF(OR($A$2=1,MAX($C$49:C62)&gt;=OP!$F$57),"",C62+(B63-B62))</f>
        <v>53</v>
      </c>
      <c r="D63" s="490">
        <f ca="1">IF(OR($A$2=1,$B63&gt;OP!$C$24),"",OP!$C$52)</f>
        <v>34650</v>
      </c>
      <c r="E63" s="491"/>
      <c r="F63" s="486">
        <f t="shared" ca="1" si="0"/>
        <v>519750</v>
      </c>
      <c r="G63" s="488"/>
      <c r="H63" s="487"/>
      <c r="I63" s="489">
        <f ca="1">IF(OR($A$2=1,$B63=""),"",VLOOKUP(OP!$C$55,DIE,$B63+1,0)*OP!$C$28)</f>
        <v>556500</v>
      </c>
      <c r="J63" s="489"/>
      <c r="K63" s="489"/>
      <c r="L63" s="209" t="str">
        <f ca="1">IF(OR(M62&gt;=OP!F57,L62=""),"",L62+1)</f>
        <v/>
      </c>
      <c r="M63" s="209" t="str">
        <f t="shared" ref="M63:M67" ca="1" si="3">IF(L63="","",M62+1)</f>
        <v/>
      </c>
      <c r="N63" s="486" t="str">
        <f ca="1">IF(OR($A$2=1,$L63&gt;OP!$C$24),"",OP!$C$52)</f>
        <v/>
      </c>
      <c r="O63" s="487"/>
      <c r="P63" s="486" t="str">
        <f t="shared" ca="1" si="2"/>
        <v/>
      </c>
      <c r="Q63" s="488"/>
      <c r="R63" s="487"/>
      <c r="S63" s="489" t="str">
        <f ca="1">IF(OR($A$2=1,$L63=""),"",VLOOKUP(OP!$C$55,DIE,$L63+1,0)*OP!$C$28)</f>
        <v/>
      </c>
      <c r="T63" s="489"/>
      <c r="U63" s="489"/>
      <c r="V63" s="23"/>
    </row>
    <row r="64" spans="2:22" s="22" customFormat="1" ht="13" customHeight="1">
      <c r="B64" s="209">
        <f ca="1">IF(OR(C63&gt;=OP!F$57,C63=""),"",IF(C63+1&gt;OP!$F$57,OP!$F$57+1-$C$49,B63+1))</f>
        <v>16</v>
      </c>
      <c r="C64" s="209">
        <f ca="1">IF(OR($A$2=1,MAX($C$49:C63)&gt;=OP!$F$57),"",C63+(B64-B63))</f>
        <v>54</v>
      </c>
      <c r="D64" s="490">
        <f ca="1">IF(OR($A$2=1,$B64&gt;OP!$C$24),"",OP!$C$52)</f>
        <v>34650</v>
      </c>
      <c r="E64" s="491"/>
      <c r="F64" s="486">
        <f t="shared" ca="1" si="0"/>
        <v>554400</v>
      </c>
      <c r="G64" s="488"/>
      <c r="H64" s="487"/>
      <c r="I64" s="489">
        <f ca="1">IF(OR($A$2=1,$B64=""),"",VLOOKUP(OP!$C$55,DIE,$B64+1,0)*OP!$C$28)</f>
        <v>593600</v>
      </c>
      <c r="J64" s="489"/>
      <c r="K64" s="489"/>
      <c r="L64" s="209" t="str">
        <f ca="1">IF(OR(M63&gt;=OP!F57,L63=""),"",L63+1)</f>
        <v/>
      </c>
      <c r="M64" s="209" t="str">
        <f t="shared" ca="1" si="3"/>
        <v/>
      </c>
      <c r="N64" s="486" t="str">
        <f ca="1">IF(OR($A$2=1,$L64&gt;OP!$C$24),"",OP!$C$52)</f>
        <v/>
      </c>
      <c r="O64" s="487"/>
      <c r="P64" s="486" t="str">
        <f t="shared" ca="1" si="2"/>
        <v/>
      </c>
      <c r="Q64" s="488"/>
      <c r="R64" s="487"/>
      <c r="S64" s="489" t="str">
        <f ca="1">IF(OR($A$2=1,$L64=""),"",VLOOKUP(OP!$C$55,DIE,$L64+1,0)*OP!$C$28)</f>
        <v/>
      </c>
      <c r="T64" s="489"/>
      <c r="U64" s="489"/>
      <c r="V64" s="23"/>
    </row>
    <row r="65" spans="2:22" s="22" customFormat="1" ht="13" customHeight="1">
      <c r="B65" s="209">
        <f ca="1">IF(OR(C64&gt;=OP!F$57,C64=""),"",IF(C64+1&gt;OP!$F$57,OP!$F$57+1-$C$49,B64+1))</f>
        <v>17</v>
      </c>
      <c r="C65" s="209">
        <f ca="1">IF(OR($A$2=1,MAX($C$49:C64)&gt;=OP!$F$57),"",C64+(B65-B64))</f>
        <v>55</v>
      </c>
      <c r="D65" s="490">
        <f ca="1">IF(OR($A$2=1,$B65&gt;OP!$C$24),"",OP!$C$52)</f>
        <v>34650</v>
      </c>
      <c r="E65" s="491"/>
      <c r="F65" s="486">
        <f t="shared" ca="1" si="0"/>
        <v>589050</v>
      </c>
      <c r="G65" s="488"/>
      <c r="H65" s="487"/>
      <c r="I65" s="489">
        <f ca="1">IF(OR($A$2=1,$B65=""),"",VLOOKUP(OP!$C$55,DIE,$B65+1,0)*OP!$C$28)</f>
        <v>630700</v>
      </c>
      <c r="J65" s="489"/>
      <c r="K65" s="489"/>
      <c r="L65" s="209" t="str">
        <f ca="1">IF(OR(M64&gt;=OP!F57,L64=""),"",L64+1)</f>
        <v/>
      </c>
      <c r="M65" s="209" t="str">
        <f t="shared" ca="1" si="3"/>
        <v/>
      </c>
      <c r="N65" s="486" t="str">
        <f ca="1">IF(OR($A$2=1,$L65&gt;OP!$C$24),"",OP!$C$52)</f>
        <v/>
      </c>
      <c r="O65" s="487"/>
      <c r="P65" s="486" t="str">
        <f t="shared" ca="1" si="2"/>
        <v/>
      </c>
      <c r="Q65" s="488"/>
      <c r="R65" s="487"/>
      <c r="S65" s="489" t="str">
        <f ca="1">IF(OR($A$2=1,$L65=""),"",VLOOKUP(OP!$C$55,DIE,$L65+1,0)*OP!$C$28)</f>
        <v/>
      </c>
      <c r="T65" s="489"/>
      <c r="U65" s="489"/>
      <c r="V65" s="23"/>
    </row>
    <row r="66" spans="2:22" s="22" customFormat="1" ht="13" customHeight="1">
      <c r="B66" s="209">
        <f ca="1">IF(OR(C65&gt;=OP!F$57,C65=""),"",IF(C65+1&gt;OP!$F$57,OP!$F$57+1-$C$49,B65+1))</f>
        <v>18</v>
      </c>
      <c r="C66" s="209">
        <f ca="1">IF(OR($A$2=1,MAX($C$49:C65)&gt;=OP!$F$57),"",C65+(B66-B65))</f>
        <v>56</v>
      </c>
      <c r="D66" s="490">
        <f ca="1">IF(OR($A$2=1,$B66&gt;OP!$C$24),"",OP!$C$52)</f>
        <v>34650</v>
      </c>
      <c r="E66" s="491"/>
      <c r="F66" s="486">
        <f t="shared" ca="1" si="0"/>
        <v>623700</v>
      </c>
      <c r="G66" s="488"/>
      <c r="H66" s="487"/>
      <c r="I66" s="489">
        <f ca="1">IF(OR($A$2=1,$B66=""),"",VLOOKUP(OP!$C$55,DIE,$B66+1,0)*OP!$C$28)</f>
        <v>667800</v>
      </c>
      <c r="J66" s="489"/>
      <c r="K66" s="489"/>
      <c r="L66" s="209" t="str">
        <f ca="1">IF(OR(M65&gt;=OP!F57,L65=""),"",L65+1)</f>
        <v/>
      </c>
      <c r="M66" s="209" t="str">
        <f t="shared" ca="1" si="3"/>
        <v/>
      </c>
      <c r="N66" s="486" t="str">
        <f ca="1">IF(OR($A$2=1,$L66&gt;OP!$C$24),"",OP!$C$52)</f>
        <v/>
      </c>
      <c r="O66" s="487"/>
      <c r="P66" s="486" t="str">
        <f t="shared" ca="1" si="2"/>
        <v/>
      </c>
      <c r="Q66" s="488"/>
      <c r="R66" s="487"/>
      <c r="S66" s="489" t="str">
        <f ca="1">IF(OR($A$2=1,$L66=""),"",VLOOKUP(OP!$C$55,DIE,$L66+1,0)*OP!$C$28)</f>
        <v/>
      </c>
      <c r="T66" s="489"/>
      <c r="U66" s="489"/>
      <c r="V66" s="23"/>
    </row>
    <row r="67" spans="2:22" s="22" customFormat="1" ht="13" customHeight="1">
      <c r="B67" s="209">
        <f ca="1">IF(OR(C66&gt;=OP!F$57,C66=""),"",IF(C66+1&gt;OP!$F$57,OP!$F$57+1-$C$49,B66+1))</f>
        <v>19</v>
      </c>
      <c r="C67" s="209">
        <f ca="1">IF(OR($A$2=1,MAX($C$49:C66)&gt;=OP!$F$57),"",C66+(B67-B66))</f>
        <v>57</v>
      </c>
      <c r="D67" s="490">
        <f ca="1">IF(OR($A$2=1,$B67&gt;OP!$C$24),"",OP!$C$52)</f>
        <v>34650</v>
      </c>
      <c r="E67" s="491"/>
      <c r="F67" s="486">
        <f t="shared" ca="1" si="0"/>
        <v>658350</v>
      </c>
      <c r="G67" s="488"/>
      <c r="H67" s="487"/>
      <c r="I67" s="489">
        <f ca="1">IF(OR($A$2=1,$B67=""),"",VLOOKUP(OP!$C$55,DIE,$B67+1,0)*OP!$C$28)</f>
        <v>704900</v>
      </c>
      <c r="J67" s="489"/>
      <c r="K67" s="489"/>
      <c r="L67" s="209" t="str">
        <f ca="1">IF(OR(M66=OP!F57,L66=""),"",L66+1)</f>
        <v/>
      </c>
      <c r="M67" s="209" t="str">
        <f t="shared" ca="1" si="3"/>
        <v/>
      </c>
      <c r="N67" s="486" t="str">
        <f ca="1">IF(OR($A$2=1,$L67&gt;OP!$C$24),"",OP!$C$52)</f>
        <v/>
      </c>
      <c r="O67" s="487"/>
      <c r="P67" s="486" t="str">
        <f t="shared" ca="1" si="2"/>
        <v/>
      </c>
      <c r="Q67" s="488"/>
      <c r="R67" s="487"/>
      <c r="S67" s="489" t="str">
        <f ca="1">IF(OR($A$2=1,$L67=""),"",VLOOKUP(OP!$C$55,DIE,$L67+1,0)*OP!$C$28)</f>
        <v/>
      </c>
      <c r="T67" s="489"/>
      <c r="U67" s="489"/>
      <c r="V67" s="23"/>
    </row>
    <row r="68" spans="2:22" s="22" customFormat="1" ht="13" customHeight="1">
      <c r="B68" s="209">
        <f ca="1">IF(OR(C67&gt;=OP!F$57,C67=""),"",IF(C67+1&gt;OP!$F$57,OP!$F$57+1-$C$49,B67+1))</f>
        <v>20</v>
      </c>
      <c r="C68" s="209">
        <f ca="1">IF(OR($A$2=1,MAX($C$49:C67)&gt;=OP!$F$57),"",C67+(B68-B67))</f>
        <v>58</v>
      </c>
      <c r="D68" s="490">
        <f ca="1">IF(OR($A$2=1,$B68&gt;OP!$C$24),"",OP!$C$52)</f>
        <v>34650</v>
      </c>
      <c r="E68" s="491"/>
      <c r="F68" s="486">
        <f t="shared" ca="1" si="0"/>
        <v>693000</v>
      </c>
      <c r="G68" s="488"/>
      <c r="H68" s="487"/>
      <c r="I68" s="489">
        <f ca="1">IF(OR($A$2=1,$B68=""),"",VLOOKUP(OP!$C$55,DIE,$B68+1,0)*OP!$C$28)</f>
        <v>742000</v>
      </c>
      <c r="J68" s="489"/>
      <c r="K68" s="489"/>
      <c r="L68" s="209"/>
      <c r="M68" s="209"/>
      <c r="N68" s="486"/>
      <c r="O68" s="487"/>
      <c r="P68" s="486"/>
      <c r="Q68" s="488"/>
      <c r="R68" s="487"/>
      <c r="S68" s="489"/>
      <c r="T68" s="489"/>
      <c r="U68" s="489"/>
      <c r="V68" s="23"/>
    </row>
    <row r="69" spans="2:22" s="22" customFormat="1" ht="13" customHeight="1">
      <c r="B69" s="209">
        <f ca="1">IF(OR(C68&gt;=OP!F$57,C68=""),"",IF(C68+1&gt;OP!$F$57,OP!$F$57+1-$C$49,B68+1))</f>
        <v>21</v>
      </c>
      <c r="C69" s="209">
        <f ca="1">IF(OR($A$2=1,MAX($C$49:C68)&gt;=OP!$F$57),"",C68+(B69-B68))</f>
        <v>59</v>
      </c>
      <c r="D69" s="490" t="str">
        <f ca="1">IF(OR($A$2=1,$B69&gt;OP!$C$24),"",OP!$C$52)</f>
        <v/>
      </c>
      <c r="E69" s="491"/>
      <c r="F69" s="486">
        <f t="shared" ca="1" si="0"/>
        <v>693000</v>
      </c>
      <c r="G69" s="488"/>
      <c r="H69" s="487"/>
      <c r="I69" s="489">
        <f ca="1">IF(OR($A$2=1,$B69=""),"",VLOOKUP(OP!$C$55,DIE,$B69+1,0)*OP!$C$28)</f>
        <v>742000</v>
      </c>
      <c r="J69" s="489"/>
      <c r="K69" s="489"/>
      <c r="L69" s="209"/>
      <c r="M69" s="209"/>
      <c r="N69" s="486"/>
      <c r="O69" s="487"/>
      <c r="P69" s="486"/>
      <c r="Q69" s="488"/>
      <c r="R69" s="487"/>
      <c r="S69" s="489"/>
      <c r="T69" s="489"/>
      <c r="U69" s="489"/>
      <c r="V69" s="23"/>
    </row>
    <row r="70" spans="2:22" s="22" customFormat="1" ht="13" customHeight="1">
      <c r="B70" s="209">
        <f ca="1">IF(OR(C69&gt;=OP!F$57,C69=""),"",IF(C69+1&gt;OP!$F$57,OP!$F$57+1-$C$49,B69+1))</f>
        <v>22</v>
      </c>
      <c r="C70" s="209">
        <f ca="1">IF(OR($A$2=1,MAX($C$49:C69)&gt;=OP!$F$57),"",C69+(B70-B69))</f>
        <v>60</v>
      </c>
      <c r="D70" s="490" t="str">
        <f ca="1">IF(OR($A$2=1,$B70&gt;OP!$C$24),"",OP!$C$52)</f>
        <v/>
      </c>
      <c r="E70" s="491"/>
      <c r="F70" s="486">
        <f t="shared" ca="1" si="0"/>
        <v>693000</v>
      </c>
      <c r="G70" s="488"/>
      <c r="H70" s="487"/>
      <c r="I70" s="489">
        <f ca="1">IF(OR($A$2=1,$B70=""),"",VLOOKUP(OP!$C$55,DIE,$B70+1,0)*OP!$C$28)</f>
        <v>742000</v>
      </c>
      <c r="J70" s="489"/>
      <c r="K70" s="489"/>
      <c r="L70" s="209"/>
      <c r="M70" s="209"/>
      <c r="N70" s="486"/>
      <c r="O70" s="487"/>
      <c r="P70" s="486"/>
      <c r="Q70" s="488"/>
      <c r="R70" s="487"/>
      <c r="S70" s="489"/>
      <c r="T70" s="489"/>
      <c r="U70" s="489"/>
      <c r="V70" s="23"/>
    </row>
    <row r="71" spans="2:22" s="22" customFormat="1" ht="13" customHeight="1">
      <c r="B71" s="209">
        <f ca="1">IF(OR(C70&gt;=OP!F$57,C70=""),"",IF(C70+1&gt;OP!$F$57,OP!$F$57+1-$C$49,B70+1))</f>
        <v>23</v>
      </c>
      <c r="C71" s="209">
        <f ca="1">IF(OR($A$2=1,MAX($C$49:C70)&gt;=OP!$F$57),"",C70+(B71-B70))</f>
        <v>61</v>
      </c>
      <c r="D71" s="490" t="str">
        <f ca="1">IF(OR($A$2=1,$B71&gt;OP!$C$24),"",OP!$C$52)</f>
        <v/>
      </c>
      <c r="E71" s="491"/>
      <c r="F71" s="486">
        <f t="shared" ca="1" si="0"/>
        <v>693000</v>
      </c>
      <c r="G71" s="488"/>
      <c r="H71" s="487"/>
      <c r="I71" s="489">
        <f ca="1">IF(OR($A$2=1,$B71=""),"",VLOOKUP(OP!$C$55,DIE,$B71+1,0)*OP!$C$28)</f>
        <v>742000</v>
      </c>
      <c r="J71" s="489"/>
      <c r="K71" s="489"/>
      <c r="L71" s="209"/>
      <c r="M71" s="209"/>
      <c r="N71" s="486"/>
      <c r="O71" s="487"/>
      <c r="P71" s="486"/>
      <c r="Q71" s="488"/>
      <c r="R71" s="487"/>
      <c r="S71" s="489"/>
      <c r="T71" s="489"/>
      <c r="U71" s="489"/>
      <c r="V71" s="23"/>
    </row>
    <row r="72" spans="2:22" s="22" customFormat="1" ht="13" customHeight="1">
      <c r="B72" s="209">
        <f ca="1">IF(OR(C71&gt;=OP!F$57,C71=""),"",IF(C71+1&gt;OP!$F$57,OP!$F$57+1-$C$49,B71+1))</f>
        <v>24</v>
      </c>
      <c r="C72" s="209">
        <f ca="1">IF(OR($A$2=1,MAX($C$49:C71)&gt;=OP!$F$57),"",C71+(B72-B71))</f>
        <v>62</v>
      </c>
      <c r="D72" s="490" t="str">
        <f ca="1">IF(OR($A$2=1,$B72&gt;OP!$C$24),"",OP!$C$52)</f>
        <v/>
      </c>
      <c r="E72" s="491"/>
      <c r="F72" s="486">
        <f t="shared" ca="1" si="0"/>
        <v>693000</v>
      </c>
      <c r="G72" s="488"/>
      <c r="H72" s="487"/>
      <c r="I72" s="489">
        <f ca="1">IF(OR($A$2=1,$B72=""),"",VLOOKUP(OP!$C$55,DIE,$B72+1,0)*OP!$C$28)</f>
        <v>742000</v>
      </c>
      <c r="J72" s="489"/>
      <c r="K72" s="489"/>
      <c r="L72" s="209"/>
      <c r="M72" s="209"/>
      <c r="N72" s="486"/>
      <c r="O72" s="487"/>
      <c r="P72" s="486"/>
      <c r="Q72" s="488"/>
      <c r="R72" s="487"/>
      <c r="S72" s="489"/>
      <c r="T72" s="489"/>
      <c r="U72" s="489"/>
      <c r="V72" s="23"/>
    </row>
    <row r="73" spans="2:22" s="22" customFormat="1" ht="13" customHeight="1">
      <c r="B73" s="209">
        <f ca="1">IF(OR(C72&gt;=OP!F$57,C72=""),"",IF(C72+1&gt;OP!$F$57,OP!$F$57+1-$C$49,B72+1))</f>
        <v>25</v>
      </c>
      <c r="C73" s="209">
        <f ca="1">IF(OR($A$2=1,MAX($C$49:C72)&gt;=OP!$F$57),"",C72+(B73-B72))</f>
        <v>63</v>
      </c>
      <c r="D73" s="490" t="str">
        <f ca="1">IF(OR($A$2=1,$B73&gt;OP!$C$24),"",OP!$C$52)</f>
        <v/>
      </c>
      <c r="E73" s="491"/>
      <c r="F73" s="486">
        <f t="shared" ca="1" si="0"/>
        <v>693000</v>
      </c>
      <c r="G73" s="488"/>
      <c r="H73" s="487"/>
      <c r="I73" s="489">
        <f ca="1">IF(OR($A$2=1,$B73=""),"",VLOOKUP(OP!$C$55,DIE,$B73+1,0)*OP!$C$28)</f>
        <v>742000</v>
      </c>
      <c r="J73" s="489"/>
      <c r="K73" s="489"/>
      <c r="L73" s="209"/>
      <c r="M73" s="209"/>
      <c r="N73" s="486"/>
      <c r="O73" s="487"/>
      <c r="P73" s="486"/>
      <c r="Q73" s="488"/>
      <c r="R73" s="487"/>
      <c r="S73" s="489"/>
      <c r="T73" s="489"/>
      <c r="U73" s="489"/>
      <c r="V73" s="23"/>
    </row>
    <row r="74" spans="2:22" s="22" customFormat="1" ht="13" customHeight="1">
      <c r="B74" s="209">
        <f ca="1">IF(OR(C73&gt;=OP!F$57,C73=""),"",IF(C73+1&gt;OP!$F$57,OP!$F$57+1-$C$49,B73+1))</f>
        <v>26</v>
      </c>
      <c r="C74" s="209">
        <f ca="1">IF(OR($A$2=1,MAX($C$49:C73)&gt;=OP!$F$57),"",C73+(B74-B73))</f>
        <v>64</v>
      </c>
      <c r="D74" s="490" t="str">
        <f ca="1">IF(OR($A$2=1,$B74&gt;OP!$C$24),"",OP!$C$52)</f>
        <v/>
      </c>
      <c r="E74" s="491"/>
      <c r="F74" s="486">
        <f t="shared" ca="1" si="0"/>
        <v>693000</v>
      </c>
      <c r="G74" s="488"/>
      <c r="H74" s="487"/>
      <c r="I74" s="489">
        <f ca="1">IF(OR($A$2=1,$B74=""),"",VLOOKUP(OP!$C$55,DIE,$B74+1,0)*OP!$C$28)</f>
        <v>742000</v>
      </c>
      <c r="J74" s="489"/>
      <c r="K74" s="489"/>
      <c r="L74" s="209"/>
      <c r="M74" s="209"/>
      <c r="N74" s="486"/>
      <c r="O74" s="487"/>
      <c r="P74" s="486"/>
      <c r="Q74" s="488"/>
      <c r="R74" s="487"/>
      <c r="S74" s="489"/>
      <c r="T74" s="489"/>
      <c r="U74" s="489"/>
      <c r="V74" s="23"/>
    </row>
    <row r="75" spans="2:22" s="22" customFormat="1" ht="13" customHeight="1">
      <c r="B75" s="209">
        <f ca="1">IF(OR(C74&gt;=OP!F$57,C74=""),"",IF(C74+1&gt;OP!$F$57,OP!$F$57+1-$C$49,B74+1))</f>
        <v>27</v>
      </c>
      <c r="C75" s="209">
        <f ca="1">IF(OR($A$2=1,MAX($C$49:C74)&gt;=OP!$F$57),"",C74+(B75-B74))</f>
        <v>65</v>
      </c>
      <c r="D75" s="490" t="str">
        <f ca="1">IF(OR($A$2=1,$B75&gt;OP!$C$24),"",OP!$C$52)</f>
        <v/>
      </c>
      <c r="E75" s="491"/>
      <c r="F75" s="486">
        <f t="shared" ca="1" si="0"/>
        <v>693000</v>
      </c>
      <c r="G75" s="488"/>
      <c r="H75" s="487"/>
      <c r="I75" s="489">
        <f ca="1">IF(OR($A$2=1,$B75=""),"",VLOOKUP(OP!$C$55,DIE,$B75+1,0)*OP!$C$28)</f>
        <v>742000</v>
      </c>
      <c r="J75" s="489"/>
      <c r="K75" s="489"/>
      <c r="L75" s="209"/>
      <c r="M75" s="209"/>
      <c r="N75" s="486"/>
      <c r="O75" s="487"/>
      <c r="P75" s="486"/>
      <c r="Q75" s="488"/>
      <c r="R75" s="487"/>
      <c r="S75" s="489"/>
      <c r="T75" s="489"/>
      <c r="U75" s="489"/>
      <c r="V75" s="23"/>
    </row>
    <row r="76" spans="2:22" s="22" customFormat="1" ht="13" customHeight="1">
      <c r="B76" s="209">
        <f ca="1">IF(OR(C75&gt;=OP!F$57,C75=""),"",IF(C75+1&gt;OP!$F$57,OP!$F$57+1-$C$49,B75+1))</f>
        <v>28</v>
      </c>
      <c r="C76" s="209">
        <f ca="1">IF(OR($A$2=1,MAX($C$49:C75)&gt;=OP!$F$57),"",C75+(B76-B75))</f>
        <v>66</v>
      </c>
      <c r="D76" s="490" t="str">
        <f ca="1">IF(OR($A$2=1,$B76&gt;OP!$C$24),"",OP!$C$52)</f>
        <v/>
      </c>
      <c r="E76" s="491"/>
      <c r="F76" s="486">
        <f t="shared" ca="1" si="0"/>
        <v>693000</v>
      </c>
      <c r="G76" s="488"/>
      <c r="H76" s="487"/>
      <c r="I76" s="489">
        <f ca="1">IF(OR($A$2=1,$B76=""),"",VLOOKUP(OP!$C$55,DIE,$B76+1,0)*OP!$C$28)</f>
        <v>742000</v>
      </c>
      <c r="J76" s="489"/>
      <c r="K76" s="489"/>
      <c r="L76" s="209"/>
      <c r="M76" s="209"/>
      <c r="N76" s="486"/>
      <c r="O76" s="487"/>
      <c r="P76" s="486"/>
      <c r="Q76" s="488"/>
      <c r="R76" s="487"/>
      <c r="S76" s="489"/>
      <c r="T76" s="489"/>
      <c r="U76" s="489"/>
      <c r="V76" s="23"/>
    </row>
    <row r="77" spans="2:22" s="22" customFormat="1" ht="13" customHeight="1">
      <c r="B77" s="209">
        <f ca="1">IF(OR(C76&gt;=OP!F$57,C76=""),"",IF(C76+1&gt;OP!$F$57,OP!$F$57+1-$C$49,B76+1))</f>
        <v>29</v>
      </c>
      <c r="C77" s="209">
        <f ca="1">IF(OR($A$2=1,MAX($C$49:C76)&gt;=OP!$F$57),"",C76+(B77-B76))</f>
        <v>67</v>
      </c>
      <c r="D77" s="490" t="str">
        <f ca="1">IF(OR($A$2=1,$B77&gt;OP!$C$24),"",OP!$C$52)</f>
        <v/>
      </c>
      <c r="E77" s="491"/>
      <c r="F77" s="486">
        <f t="shared" ca="1" si="0"/>
        <v>693000</v>
      </c>
      <c r="G77" s="488"/>
      <c r="H77" s="487"/>
      <c r="I77" s="489">
        <f ca="1">IF(OR($A$2=1,$B77=""),"",VLOOKUP(OP!$C$55,DIE,$B77+1,0)*OP!$C$28)</f>
        <v>742000</v>
      </c>
      <c r="J77" s="489"/>
      <c r="K77" s="489"/>
      <c r="L77" s="209"/>
      <c r="M77" s="209"/>
      <c r="N77" s="486"/>
      <c r="O77" s="487"/>
      <c r="P77" s="486"/>
      <c r="Q77" s="488"/>
      <c r="R77" s="487"/>
      <c r="S77" s="489"/>
      <c r="T77" s="489"/>
      <c r="U77" s="489"/>
      <c r="V77" s="23"/>
    </row>
    <row r="78" spans="2:22" s="22" customFormat="1" ht="13" customHeight="1">
      <c r="B78" s="209">
        <f ca="1">IF(OR(C77&gt;=OP!F$57,C77=""),"",IF(C77+1&gt;OP!$F$57,OP!$F$57+1-$C$49,B77+1))</f>
        <v>30</v>
      </c>
      <c r="C78" s="209">
        <f ca="1">IF(OR($A$2=1,MAX($C$49:C77)&gt;=OP!$F$57),"",C77+(B78-B77))</f>
        <v>68</v>
      </c>
      <c r="D78" s="490" t="str">
        <f ca="1">IF(OR($A$2=1,$B78&gt;OP!$C$24),"",OP!$C$52)</f>
        <v/>
      </c>
      <c r="E78" s="491"/>
      <c r="F78" s="486">
        <f t="shared" ca="1" si="0"/>
        <v>693000</v>
      </c>
      <c r="G78" s="488"/>
      <c r="H78" s="487"/>
      <c r="I78" s="489">
        <f ca="1">IF(OR($A$2=1,$B78=""),"",VLOOKUP(OP!$C$55,DIE,$B78+1,0)*OP!$C$28)</f>
        <v>742000</v>
      </c>
      <c r="J78" s="489"/>
      <c r="K78" s="489"/>
      <c r="L78" s="209"/>
      <c r="M78" s="209"/>
      <c r="N78" s="486"/>
      <c r="O78" s="487"/>
      <c r="P78" s="486"/>
      <c r="Q78" s="488"/>
      <c r="R78" s="487"/>
      <c r="S78" s="489"/>
      <c r="T78" s="489"/>
      <c r="U78" s="489"/>
      <c r="V78" s="23"/>
    </row>
    <row r="79" spans="2:22" s="22" customFormat="1" ht="13" customHeight="1">
      <c r="B79" s="209">
        <f ca="1">IF(OR(C78&gt;=OP!F$57,C78=""),"",IF(C78+1&gt;OP!$F$57,OP!$F$57+1-$C$49,B78+1))</f>
        <v>31</v>
      </c>
      <c r="C79" s="209">
        <f ca="1">IF(OR($A$2=1,MAX($C$49:C78)&gt;=OP!$F$57),"",C78+(B79-B78))</f>
        <v>69</v>
      </c>
      <c r="D79" s="490" t="str">
        <f ca="1">IF(OR($A$2=1,$B79&gt;OP!$C$24),"",OP!$C$52)</f>
        <v/>
      </c>
      <c r="E79" s="491"/>
      <c r="F79" s="486">
        <f t="shared" ca="1" si="0"/>
        <v>693000</v>
      </c>
      <c r="G79" s="488"/>
      <c r="H79" s="487"/>
      <c r="I79" s="489">
        <f ca="1">IF(OR($A$2=1,$B79=""),"",VLOOKUP(OP!$C$55,DIE,$B79+1,0)*OP!$C$28)</f>
        <v>742000</v>
      </c>
      <c r="J79" s="489"/>
      <c r="K79" s="489"/>
      <c r="L79" s="209"/>
      <c r="M79" s="209"/>
      <c r="N79" s="486"/>
      <c r="O79" s="487"/>
      <c r="P79" s="486"/>
      <c r="Q79" s="488"/>
      <c r="R79" s="487"/>
      <c r="S79" s="489"/>
      <c r="T79" s="489"/>
      <c r="U79" s="489"/>
      <c r="V79" s="23"/>
    </row>
    <row r="80" spans="2:22" s="22" customFormat="1" ht="13" customHeight="1">
      <c r="B80" s="209">
        <f ca="1">IF(OR(C79&gt;=OP!F$57,C79=""),"",IF(C79+1&gt;OP!$F$57,OP!$F$57+1-$C$49,B79+1))</f>
        <v>32</v>
      </c>
      <c r="C80" s="209">
        <f ca="1">IF(OR($A$2=1,MAX($C$49:C79)&gt;=OP!$F$57),"",C79+(B80-B79))</f>
        <v>70</v>
      </c>
      <c r="D80" s="490" t="str">
        <f ca="1">IF(OR($A$2=1,$B80&gt;OP!$C$24),"",OP!$C$52)</f>
        <v/>
      </c>
      <c r="E80" s="491"/>
      <c r="F80" s="486">
        <f t="shared" ca="1" si="0"/>
        <v>693000</v>
      </c>
      <c r="G80" s="488"/>
      <c r="H80" s="487"/>
      <c r="I80" s="489">
        <f ca="1">IF(OR($A$2=1,$B80=""),"",VLOOKUP(OP!$C$55,DIE,$B80+1,0)*OP!$C$28)</f>
        <v>742000</v>
      </c>
      <c r="J80" s="489"/>
      <c r="K80" s="489"/>
      <c r="L80" s="209"/>
      <c r="M80" s="209"/>
      <c r="N80" s="486"/>
      <c r="O80" s="487"/>
      <c r="P80" s="486"/>
      <c r="Q80" s="488"/>
      <c r="R80" s="487"/>
      <c r="S80" s="489"/>
      <c r="T80" s="489"/>
      <c r="U80" s="489"/>
      <c r="V80" s="23"/>
    </row>
    <row r="81" spans="2:22" s="22" customFormat="1" ht="13" customHeight="1">
      <c r="B81" s="209">
        <f ca="1">IF(OR(C80&gt;=OP!F$57,C80=""),"",IF(C80+1&gt;OP!$F$57,OP!$F$57+1-$C$49,B80+1))</f>
        <v>33</v>
      </c>
      <c r="C81" s="209">
        <f ca="1">IF(OR($A$2=1,MAX($C$49:C80)&gt;=OP!$F$57),"",C80+(B81-B80))</f>
        <v>71</v>
      </c>
      <c r="D81" s="490" t="str">
        <f ca="1">IF(OR($A$2=1,$B81&gt;OP!$C$24),"",OP!$C$52)</f>
        <v/>
      </c>
      <c r="E81" s="491"/>
      <c r="F81" s="486">
        <f t="shared" ca="1" si="0"/>
        <v>693000</v>
      </c>
      <c r="G81" s="488"/>
      <c r="H81" s="487"/>
      <c r="I81" s="489">
        <f ca="1">IF(OR($A$2=1,$B81=""),"",VLOOKUP(OP!$C$55,DIE,$B81+1,0)*OP!$C$28)</f>
        <v>742000</v>
      </c>
      <c r="J81" s="489"/>
      <c r="K81" s="489"/>
      <c r="L81" s="209"/>
      <c r="M81" s="209"/>
      <c r="N81" s="486"/>
      <c r="O81" s="487"/>
      <c r="P81" s="486"/>
      <c r="Q81" s="488"/>
      <c r="R81" s="487"/>
      <c r="S81" s="489"/>
      <c r="T81" s="489"/>
      <c r="U81" s="489"/>
      <c r="V81" s="23"/>
    </row>
    <row r="82" spans="2:22" s="22" customFormat="1" ht="13" customHeight="1">
      <c r="B82" s="209">
        <f ca="1">IF(OR(C81&gt;=OP!F$57,C81=""),"",IF(C81+1&gt;OP!$F$57,OP!$F$57+1-$C$49,B81+1))</f>
        <v>34</v>
      </c>
      <c r="C82" s="209">
        <f ca="1">IF(OR($A$2=1,MAX($C$49:C81)&gt;=OP!$F$57),"",C81+(B82-B81))</f>
        <v>72</v>
      </c>
      <c r="D82" s="490" t="str">
        <f ca="1">IF(OR($A$2=1,$B82&gt;OP!$C$24),"",OP!$C$52)</f>
        <v/>
      </c>
      <c r="E82" s="491"/>
      <c r="F82" s="486">
        <f t="shared" ref="F82:F99" ca="1" si="4">IF(OR($A$2=1,$B82=""),"",N($F81)+N($D82))</f>
        <v>693000</v>
      </c>
      <c r="G82" s="488"/>
      <c r="H82" s="487"/>
      <c r="I82" s="489">
        <f ca="1">IF(OR($A$2=1,$B82=""),"",VLOOKUP(OP!$C$55,DIE,$B82+1,0)*OP!$C$28)</f>
        <v>742000</v>
      </c>
      <c r="J82" s="489"/>
      <c r="K82" s="489"/>
      <c r="L82" s="209"/>
      <c r="M82" s="209"/>
      <c r="N82" s="486"/>
      <c r="O82" s="487"/>
      <c r="P82" s="486"/>
      <c r="Q82" s="488"/>
      <c r="R82" s="487"/>
      <c r="S82" s="489"/>
      <c r="T82" s="489"/>
      <c r="U82" s="489"/>
      <c r="V82" s="23"/>
    </row>
    <row r="83" spans="2:22" s="22" customFormat="1" ht="13" customHeight="1">
      <c r="B83" s="209">
        <f ca="1">IF(OR(C82&gt;=OP!F$57,C82=""),"",IF(C82+1&gt;OP!$F$57,OP!$F$57+1-$C$49,B82+1))</f>
        <v>35</v>
      </c>
      <c r="C83" s="209">
        <f ca="1">IF(OR($A$2=1,MAX($C$49:C82)&gt;=OP!$F$57),"",C82+(B83-B82))</f>
        <v>73</v>
      </c>
      <c r="D83" s="490" t="str">
        <f ca="1">IF(OR($A$2=1,$B83&gt;OP!$C$24),"",OP!$C$52)</f>
        <v/>
      </c>
      <c r="E83" s="491"/>
      <c r="F83" s="486">
        <f t="shared" ca="1" si="4"/>
        <v>693000</v>
      </c>
      <c r="G83" s="488"/>
      <c r="H83" s="487"/>
      <c r="I83" s="489">
        <f ca="1">IF(OR($A$2=1,$B83=""),"",VLOOKUP(OP!$C$55,DIE,$B83+1,0)*OP!$C$28)</f>
        <v>742000</v>
      </c>
      <c r="J83" s="489"/>
      <c r="K83" s="489"/>
      <c r="L83" s="209"/>
      <c r="M83" s="209"/>
      <c r="N83" s="486"/>
      <c r="O83" s="487"/>
      <c r="P83" s="486"/>
      <c r="Q83" s="488"/>
      <c r="R83" s="487"/>
      <c r="S83" s="489"/>
      <c r="T83" s="489"/>
      <c r="U83" s="489"/>
      <c r="V83" s="23"/>
    </row>
    <row r="84" spans="2:22" s="22" customFormat="1" ht="13" customHeight="1">
      <c r="B84" s="209">
        <f ca="1">IF(OR(C83&gt;=OP!F$57,C83=""),"",IF(C83+1&gt;OP!$F$57,OP!$F$57+1-$C$49,B83+1))</f>
        <v>36</v>
      </c>
      <c r="C84" s="209">
        <f ca="1">IF(OR($A$2=1,MAX($C$49:C83)&gt;=OP!$F$57),"",C83+(B84-B83))</f>
        <v>74</v>
      </c>
      <c r="D84" s="490" t="str">
        <f ca="1">IF(OR($A$2=1,$B84&gt;OP!$C$24),"",OP!$C$52)</f>
        <v/>
      </c>
      <c r="E84" s="491"/>
      <c r="F84" s="486">
        <f t="shared" ca="1" si="4"/>
        <v>693000</v>
      </c>
      <c r="G84" s="488"/>
      <c r="H84" s="487"/>
      <c r="I84" s="489">
        <f ca="1">IF(OR($A$2=1,$B84=""),"",VLOOKUP(OP!$C$55,DIE,$B84+1,0)*OP!$C$28)</f>
        <v>742000</v>
      </c>
      <c r="J84" s="489"/>
      <c r="K84" s="489"/>
      <c r="L84" s="209"/>
      <c r="M84" s="209"/>
      <c r="N84" s="486"/>
      <c r="O84" s="487"/>
      <c r="P84" s="486"/>
      <c r="Q84" s="488"/>
      <c r="R84" s="487"/>
      <c r="S84" s="489"/>
      <c r="T84" s="489"/>
      <c r="U84" s="489"/>
      <c r="V84" s="23"/>
    </row>
    <row r="85" spans="2:22" s="22" customFormat="1" ht="13" customHeight="1">
      <c r="B85" s="209">
        <f ca="1">IF(OR(C84&gt;=OP!F$57,C84=""),"",IF(C84+1&gt;OP!$F$57,OP!$F$57+1-$C$49,B84+1))</f>
        <v>37</v>
      </c>
      <c r="C85" s="209">
        <f ca="1">IF(OR($A$2=1,MAX($C$49:C84)&gt;=OP!$F$57),"",C84+(B85-B84))</f>
        <v>75</v>
      </c>
      <c r="D85" s="490" t="str">
        <f ca="1">IF(OR($A$2=1,$B85&gt;OP!$C$24),"",OP!$C$52)</f>
        <v/>
      </c>
      <c r="E85" s="491"/>
      <c r="F85" s="486">
        <f t="shared" ca="1" si="4"/>
        <v>693000</v>
      </c>
      <c r="G85" s="488"/>
      <c r="H85" s="487"/>
      <c r="I85" s="489">
        <f ca="1">IF(OR($A$2=1,$B85=""),"",VLOOKUP(OP!$C$55,DIE,$B85+1,0)*OP!$C$28)</f>
        <v>742000</v>
      </c>
      <c r="J85" s="489"/>
      <c r="K85" s="489"/>
      <c r="L85" s="209"/>
      <c r="M85" s="209"/>
      <c r="N85" s="486"/>
      <c r="O85" s="487"/>
      <c r="P85" s="486"/>
      <c r="Q85" s="488"/>
      <c r="R85" s="487"/>
      <c r="S85" s="489"/>
      <c r="T85" s="489"/>
      <c r="U85" s="489"/>
      <c r="V85" s="23"/>
    </row>
    <row r="86" spans="2:22" s="25" customFormat="1" ht="13" customHeight="1">
      <c r="B86" s="209">
        <f ca="1">IF(OR(C85&gt;=OP!F$57,C85=""),"",IF(C85+1&gt;OP!$F$57,OP!$F$57+1-$C$49,B85+1))</f>
        <v>38</v>
      </c>
      <c r="C86" s="209">
        <f ca="1">IF(OR($A$2=1,MAX($C$49:C85)&gt;=OP!$F$57),"",C85+(B86-B85))</f>
        <v>76</v>
      </c>
      <c r="D86" s="490" t="str">
        <f ca="1">IF(OR($A$2=1,$B86&gt;OP!$C$24),"",OP!$C$52)</f>
        <v/>
      </c>
      <c r="E86" s="491"/>
      <c r="F86" s="486">
        <f t="shared" ca="1" si="4"/>
        <v>693000</v>
      </c>
      <c r="G86" s="488"/>
      <c r="H86" s="487"/>
      <c r="I86" s="489">
        <f ca="1">IF(OR($A$2=1,$B86=""),"",VLOOKUP(OP!$C$55,DIE,$B86+1,0)*OP!$C$28)</f>
        <v>742000</v>
      </c>
      <c r="J86" s="489"/>
      <c r="K86" s="489"/>
      <c r="L86" s="209"/>
      <c r="M86" s="209"/>
      <c r="N86" s="486"/>
      <c r="O86" s="487"/>
      <c r="P86" s="486"/>
      <c r="Q86" s="488"/>
      <c r="R86" s="487"/>
      <c r="S86" s="489"/>
      <c r="T86" s="489"/>
      <c r="U86" s="489"/>
      <c r="V86" s="24"/>
    </row>
    <row r="87" spans="2:22" s="25" customFormat="1" ht="13" customHeight="1">
      <c r="B87" s="209">
        <f ca="1">IF(OR(C86&gt;=OP!F$57,C86=""),"",IF(C86+1&gt;OP!$F$57,OP!$F$57+1-$C$49,B86+1))</f>
        <v>39</v>
      </c>
      <c r="C87" s="209">
        <f ca="1">IF(OR($A$2=1,MAX($C$49:C86)&gt;=OP!$F$57),"",C86+(B87-B86))</f>
        <v>77</v>
      </c>
      <c r="D87" s="490" t="str">
        <f ca="1">IF(OR($A$2=1,$B87&gt;OP!$C$24),"",OP!$C$52)</f>
        <v/>
      </c>
      <c r="E87" s="491"/>
      <c r="F87" s="486">
        <f t="shared" ca="1" si="4"/>
        <v>693000</v>
      </c>
      <c r="G87" s="488"/>
      <c r="H87" s="487"/>
      <c r="I87" s="489">
        <f ca="1">IF(OR($A$2=1,$B87=""),"",VLOOKUP(OP!$C$55,DIE,$B87+1,0)*OP!$C$28)</f>
        <v>742000</v>
      </c>
      <c r="J87" s="489"/>
      <c r="K87" s="489"/>
      <c r="L87" s="209"/>
      <c r="M87" s="209"/>
      <c r="N87" s="486"/>
      <c r="O87" s="487"/>
      <c r="P87" s="486"/>
      <c r="Q87" s="488"/>
      <c r="R87" s="487"/>
      <c r="S87" s="489"/>
      <c r="T87" s="489"/>
      <c r="U87" s="489"/>
      <c r="V87" s="24"/>
    </row>
    <row r="88" spans="2:22" s="25" customFormat="1" ht="13" customHeight="1">
      <c r="B88" s="209">
        <f ca="1">IF(OR(C87&gt;=OP!F$57,C87=""),"",IF(C87+1&gt;OP!$F$57,OP!$F$57+1-$C$49,B87+1))</f>
        <v>40</v>
      </c>
      <c r="C88" s="209">
        <f ca="1">IF(OR($A$2=1,MAX($C$49:C87)&gt;=OP!$F$57),"",C87+(B88-B87))</f>
        <v>78</v>
      </c>
      <c r="D88" s="490" t="str">
        <f ca="1">IF(OR($A$2=1,$B88&gt;OP!$C$24),"",OP!$C$52)</f>
        <v/>
      </c>
      <c r="E88" s="491"/>
      <c r="F88" s="486">
        <f t="shared" ca="1" si="4"/>
        <v>693000</v>
      </c>
      <c r="G88" s="488"/>
      <c r="H88" s="487"/>
      <c r="I88" s="489">
        <f ca="1">IF(OR($A$2=1,$B88=""),"",VLOOKUP(OP!$C$55,DIE,$B88+1,0)*OP!$C$28)</f>
        <v>742000</v>
      </c>
      <c r="J88" s="489"/>
      <c r="K88" s="489"/>
      <c r="L88" s="209"/>
      <c r="M88" s="209"/>
      <c r="N88" s="486"/>
      <c r="O88" s="487"/>
      <c r="P88" s="486"/>
      <c r="Q88" s="488"/>
      <c r="R88" s="487"/>
      <c r="S88" s="489"/>
      <c r="T88" s="489"/>
      <c r="U88" s="489"/>
      <c r="V88" s="24"/>
    </row>
    <row r="89" spans="2:22" s="25" customFormat="1" ht="13" customHeight="1">
      <c r="B89" s="209">
        <f ca="1">IF(OR(C88&gt;=OP!F$57,C88=""),"",IF(C88+1&gt;OP!$F$57,OP!$F$57+1-$C$49,B88+1))</f>
        <v>41</v>
      </c>
      <c r="C89" s="209">
        <f ca="1">IF(OR($A$2=1,MAX($C$49:C88)&gt;=OP!$F$57),"",C88+(B89-B88))</f>
        <v>79</v>
      </c>
      <c r="D89" s="490" t="str">
        <f ca="1">IF(OR($A$2=1,$B89&gt;OP!$C$24),"",OP!$C$52)</f>
        <v/>
      </c>
      <c r="E89" s="491"/>
      <c r="F89" s="486">
        <f t="shared" ca="1" si="4"/>
        <v>693000</v>
      </c>
      <c r="G89" s="488"/>
      <c r="H89" s="487"/>
      <c r="I89" s="489">
        <f ca="1">IF(OR($A$2=1,$B89=""),"",VLOOKUP(OP!$C$55,DIE,$B89+1,0)*OP!$C$28)</f>
        <v>742000</v>
      </c>
      <c r="J89" s="489"/>
      <c r="K89" s="489"/>
      <c r="L89" s="209"/>
      <c r="M89" s="209"/>
      <c r="N89" s="486"/>
      <c r="O89" s="487"/>
      <c r="P89" s="486"/>
      <c r="Q89" s="488"/>
      <c r="R89" s="487"/>
      <c r="S89" s="489"/>
      <c r="T89" s="489"/>
      <c r="U89" s="489"/>
      <c r="V89" s="24"/>
    </row>
    <row r="90" spans="2:22" s="25" customFormat="1" ht="13" customHeight="1">
      <c r="B90" s="209">
        <f ca="1">IF(OR(C89&gt;=OP!F$57,C89=""),"",IF(C89+1&gt;OP!$F$57,OP!$F$57+1-$C$49,B89+1))</f>
        <v>42</v>
      </c>
      <c r="C90" s="209">
        <f ca="1">IF(OR($A$2=1,MAX($C$49:C89)&gt;=OP!$F$57),"",C89+(B90-B89))</f>
        <v>80</v>
      </c>
      <c r="D90" s="490" t="str">
        <f ca="1">IF(OR($A$2=1,$B90&gt;OP!$C$24),"",OP!$C$52)</f>
        <v/>
      </c>
      <c r="E90" s="491"/>
      <c r="F90" s="486">
        <f t="shared" ca="1" si="4"/>
        <v>693000</v>
      </c>
      <c r="G90" s="488"/>
      <c r="H90" s="487"/>
      <c r="I90" s="489">
        <f ca="1">IF(OR($A$2=1,$B90=""),"",VLOOKUP(OP!$C$55,DIE,$B90+1,0)*OP!$C$28)</f>
        <v>742000</v>
      </c>
      <c r="J90" s="489"/>
      <c r="K90" s="489"/>
      <c r="L90" s="209"/>
      <c r="M90" s="209"/>
      <c r="N90" s="486"/>
      <c r="O90" s="487"/>
      <c r="P90" s="486"/>
      <c r="Q90" s="488"/>
      <c r="R90" s="487"/>
      <c r="S90" s="489"/>
      <c r="T90" s="489"/>
      <c r="U90" s="489"/>
      <c r="V90" s="24"/>
    </row>
    <row r="91" spans="2:22" s="25" customFormat="1" ht="13" customHeight="1">
      <c r="B91" s="209">
        <f ca="1">IF(OR(C90&gt;=OP!F$57,C90=""),"",IF(C90+1&gt;OP!$F$57,OP!$F$57+1-$C$49,B90+1))</f>
        <v>43</v>
      </c>
      <c r="C91" s="209">
        <f ca="1">IF(OR($A$2=1,MAX($C$49:C90)&gt;=OP!$F$57),"",C90+(B91-B90))</f>
        <v>81</v>
      </c>
      <c r="D91" s="490" t="str">
        <f ca="1">IF(OR($A$2=1,$B91&gt;OP!$C$24),"",OP!$C$52)</f>
        <v/>
      </c>
      <c r="E91" s="491"/>
      <c r="F91" s="486">
        <f t="shared" ca="1" si="4"/>
        <v>693000</v>
      </c>
      <c r="G91" s="488"/>
      <c r="H91" s="487"/>
      <c r="I91" s="489">
        <f ca="1">IF(OR($A$2=1,$B91=""),"",VLOOKUP(OP!$C$55,DIE,$B91+1,0)*OP!$C$28)</f>
        <v>742000</v>
      </c>
      <c r="J91" s="489"/>
      <c r="K91" s="489"/>
      <c r="L91" s="209"/>
      <c r="M91" s="209"/>
      <c r="N91" s="486"/>
      <c r="O91" s="487"/>
      <c r="P91" s="486"/>
      <c r="Q91" s="488"/>
      <c r="R91" s="487"/>
      <c r="S91" s="489"/>
      <c r="T91" s="489"/>
      <c r="U91" s="489"/>
      <c r="V91" s="24"/>
    </row>
    <row r="92" spans="2:22" s="25" customFormat="1" ht="13" customHeight="1">
      <c r="B92" s="209">
        <f ca="1">IF(OR(C91&gt;=OP!F$57,C91=""),"",IF(C91+1&gt;OP!$F$57,OP!$F$57+1-$C$49,B91+1))</f>
        <v>44</v>
      </c>
      <c r="C92" s="209">
        <f ca="1">IF(OR($A$2=1,MAX($C$49:C91)&gt;=OP!$F$57),"",C91+(B92-B91))</f>
        <v>82</v>
      </c>
      <c r="D92" s="490" t="str">
        <f ca="1">IF(OR($A$2=1,$B92&gt;OP!$C$24),"",OP!$C$52)</f>
        <v/>
      </c>
      <c r="E92" s="491"/>
      <c r="F92" s="486">
        <f t="shared" ca="1" si="4"/>
        <v>693000</v>
      </c>
      <c r="G92" s="488"/>
      <c r="H92" s="487"/>
      <c r="I92" s="489">
        <f ca="1">IF(OR($A$2=1,$B92=""),"",VLOOKUP(OP!$C$55,DIE,$B92+1,0)*OP!$C$28)</f>
        <v>742000</v>
      </c>
      <c r="J92" s="489"/>
      <c r="K92" s="489"/>
      <c r="L92" s="209"/>
      <c r="M92" s="209"/>
      <c r="N92" s="486"/>
      <c r="O92" s="487"/>
      <c r="P92" s="486"/>
      <c r="Q92" s="488"/>
      <c r="R92" s="487"/>
      <c r="S92" s="489"/>
      <c r="T92" s="489"/>
      <c r="U92" s="489"/>
      <c r="V92" s="24"/>
    </row>
    <row r="93" spans="2:22" s="25" customFormat="1" ht="13" customHeight="1">
      <c r="B93" s="209">
        <f ca="1">IF(OR(C92&gt;=OP!F$57,C92=""),"",IF(C92+1&gt;OP!$F$57,OP!$F$57+1-$C$49,B92+1))</f>
        <v>45</v>
      </c>
      <c r="C93" s="209">
        <f ca="1">IF(OR($A$2=1,MAX($C$49:C92)&gt;=OP!$F$57),"",C92+(B93-B92))</f>
        <v>83</v>
      </c>
      <c r="D93" s="490" t="str">
        <f ca="1">IF(OR($A$2=1,$B93&gt;OP!$C$24),"",OP!$C$52)</f>
        <v/>
      </c>
      <c r="E93" s="491"/>
      <c r="F93" s="486">
        <f t="shared" ca="1" si="4"/>
        <v>693000</v>
      </c>
      <c r="G93" s="488"/>
      <c r="H93" s="487"/>
      <c r="I93" s="489">
        <f ca="1">IF(OR($A$2=1,$B93=""),"",VLOOKUP(OP!$C$55,DIE,$B93+1,0)*OP!$C$28)</f>
        <v>742000</v>
      </c>
      <c r="J93" s="489"/>
      <c r="K93" s="489"/>
      <c r="L93" s="209"/>
      <c r="M93" s="209"/>
      <c r="N93" s="486"/>
      <c r="O93" s="487"/>
      <c r="P93" s="486"/>
      <c r="Q93" s="488"/>
      <c r="R93" s="487"/>
      <c r="S93" s="489"/>
      <c r="T93" s="489"/>
      <c r="U93" s="489"/>
      <c r="V93" s="24"/>
    </row>
    <row r="94" spans="2:22" s="25" customFormat="1" ht="13" customHeight="1">
      <c r="B94" s="209">
        <f ca="1">IF(OR(C93&gt;=OP!F$57,C93=""),"",IF(C93+1&gt;OP!$F$57,OP!$F$57+1-$C$49,B93+1))</f>
        <v>46</v>
      </c>
      <c r="C94" s="209">
        <f ca="1">IF(OR($A$2=1,MAX($C$49:C93)&gt;=OP!$F$57),"",C93+(B94-B93))</f>
        <v>84</v>
      </c>
      <c r="D94" s="490" t="str">
        <f ca="1">IF(OR($A$2=1,$B94&gt;OP!$C$24),"",OP!$C$52)</f>
        <v/>
      </c>
      <c r="E94" s="491"/>
      <c r="F94" s="486">
        <f t="shared" ca="1" si="4"/>
        <v>693000</v>
      </c>
      <c r="G94" s="488"/>
      <c r="H94" s="487"/>
      <c r="I94" s="489">
        <f ca="1">IF(OR($A$2=1,$B94=""),"",VLOOKUP(OP!$C$55,DIE,$B94+1,0)*OP!$C$28)</f>
        <v>742000</v>
      </c>
      <c r="J94" s="489"/>
      <c r="K94" s="489"/>
      <c r="L94" s="209"/>
      <c r="M94" s="209"/>
      <c r="N94" s="486"/>
      <c r="O94" s="487"/>
      <c r="P94" s="486"/>
      <c r="Q94" s="488"/>
      <c r="R94" s="487"/>
      <c r="S94" s="489"/>
      <c r="T94" s="489"/>
      <c r="U94" s="489"/>
      <c r="V94" s="24"/>
    </row>
    <row r="95" spans="2:22" s="25" customFormat="1" ht="13" customHeight="1">
      <c r="B95" s="209">
        <f ca="1">IF(OR(C94&gt;=OP!F$57,C94=""),"",IF(C94+1&gt;OP!$F$57,OP!$F$57+1-$C$49,B94+1))</f>
        <v>47</v>
      </c>
      <c r="C95" s="209">
        <f ca="1">IF(OR($A$2=1,MAX($C$49:C94)&gt;=OP!$F$57),"",C94+(B95-B94))</f>
        <v>85</v>
      </c>
      <c r="D95" s="490" t="str">
        <f ca="1">IF(OR($A$2=1,$B95&gt;OP!$C$24),"",OP!$C$52)</f>
        <v/>
      </c>
      <c r="E95" s="491"/>
      <c r="F95" s="486">
        <f t="shared" ca="1" si="4"/>
        <v>693000</v>
      </c>
      <c r="G95" s="488"/>
      <c r="H95" s="487"/>
      <c r="I95" s="489">
        <f ca="1">IF(OR($A$2=1,$B95=""),"",VLOOKUP(OP!$C$55,DIE,$B95+1,0)*OP!$C$28)</f>
        <v>742000</v>
      </c>
      <c r="J95" s="489"/>
      <c r="K95" s="489"/>
      <c r="L95" s="209"/>
      <c r="M95" s="209"/>
      <c r="N95" s="486"/>
      <c r="O95" s="487"/>
      <c r="P95" s="486"/>
      <c r="Q95" s="488"/>
      <c r="R95" s="487"/>
      <c r="S95" s="489"/>
      <c r="T95" s="489"/>
      <c r="U95" s="489"/>
      <c r="V95" s="24"/>
    </row>
    <row r="96" spans="2:22" s="25" customFormat="1" ht="13" customHeight="1">
      <c r="B96" s="209">
        <f ca="1">IF(OR(C95&gt;=OP!F$57,C95=""),"",IF(C95+1&gt;OP!$F$57,OP!$F$57+1-$C$49,B95+1))</f>
        <v>48</v>
      </c>
      <c r="C96" s="209">
        <f ca="1">IF(OR($A$2=1,MAX($C$49:C95)&gt;=OP!$F$57),"",C95+(B96-B95))</f>
        <v>86</v>
      </c>
      <c r="D96" s="490" t="str">
        <f ca="1">IF(OR($A$2=1,$B96&gt;OP!$C$24),"",OP!$C$52)</f>
        <v/>
      </c>
      <c r="E96" s="491"/>
      <c r="F96" s="486">
        <f t="shared" ca="1" si="4"/>
        <v>693000</v>
      </c>
      <c r="G96" s="488"/>
      <c r="H96" s="487"/>
      <c r="I96" s="489">
        <f ca="1">IF(OR($A$2=1,$B96=""),"",VLOOKUP(OP!$C$55,DIE,$B96+1,0)*OP!$C$28)</f>
        <v>742000</v>
      </c>
      <c r="J96" s="489"/>
      <c r="K96" s="489"/>
      <c r="L96" s="209"/>
      <c r="M96" s="209"/>
      <c r="N96" s="486"/>
      <c r="O96" s="487"/>
      <c r="P96" s="486"/>
      <c r="Q96" s="488"/>
      <c r="R96" s="487"/>
      <c r="S96" s="489"/>
      <c r="T96" s="489"/>
      <c r="U96" s="489"/>
      <c r="V96" s="24"/>
    </row>
    <row r="97" spans="1:22" s="25" customFormat="1" ht="13" customHeight="1">
      <c r="B97" s="209">
        <f ca="1">IF(OR(C96&gt;=OP!F$57,C96=""),"",IF(C96+1&gt;OP!$F$57,OP!$F$57+1-$C$49,B96+1))</f>
        <v>49</v>
      </c>
      <c r="C97" s="209">
        <f ca="1">IF(OR($A$2=1,MAX($C$49:C96)&gt;=OP!$F$57),"",C96+(B97-B96))</f>
        <v>87</v>
      </c>
      <c r="D97" s="490" t="str">
        <f ca="1">IF(OR($A$2=1,$B97&gt;OP!$C$24),"",OP!$C$52)</f>
        <v/>
      </c>
      <c r="E97" s="491"/>
      <c r="F97" s="486">
        <f t="shared" ca="1" si="4"/>
        <v>693000</v>
      </c>
      <c r="G97" s="488"/>
      <c r="H97" s="487"/>
      <c r="I97" s="489">
        <f ca="1">IF(OR($A$2=1,$B97=""),"",VLOOKUP(OP!$C$55,DIE,$B97+1,0)*OP!$C$28)</f>
        <v>742000</v>
      </c>
      <c r="J97" s="489"/>
      <c r="K97" s="489"/>
      <c r="L97" s="209"/>
      <c r="M97" s="209"/>
      <c r="N97" s="486"/>
      <c r="O97" s="487"/>
      <c r="P97" s="486"/>
      <c r="Q97" s="488"/>
      <c r="R97" s="487"/>
      <c r="S97" s="489"/>
      <c r="T97" s="489"/>
      <c r="U97" s="489"/>
      <c r="V97" s="24"/>
    </row>
    <row r="98" spans="1:22" s="25" customFormat="1" ht="13" customHeight="1">
      <c r="B98" s="209">
        <f ca="1">IF(OR(C97&gt;=OP!F$57,C97=""),"",IF(C97+1&gt;OP!$F$57,OP!$F$57+1-$C$49,B97+1))</f>
        <v>50</v>
      </c>
      <c r="C98" s="209">
        <f ca="1">IF(OR($A$2=1,MAX($C$49:C97)&gt;=OP!$F$57),"",C97+(B98-B97))</f>
        <v>88</v>
      </c>
      <c r="D98" s="490" t="str">
        <f ca="1">IF(OR($A$2=1,$B98&gt;OP!$C$24),"",OP!$C$52)</f>
        <v/>
      </c>
      <c r="E98" s="491"/>
      <c r="F98" s="486">
        <f t="shared" ca="1" si="4"/>
        <v>693000</v>
      </c>
      <c r="G98" s="488"/>
      <c r="H98" s="487"/>
      <c r="I98" s="489">
        <f ca="1">IF(OR($A$2=1,$B98=""),"",VLOOKUP(OP!$C$55,DIE,$B98+1,0)*OP!$C$28)</f>
        <v>742000</v>
      </c>
      <c r="J98" s="489"/>
      <c r="K98" s="489"/>
      <c r="L98" s="209"/>
      <c r="M98" s="209"/>
      <c r="N98" s="486"/>
      <c r="O98" s="487"/>
      <c r="P98" s="486"/>
      <c r="Q98" s="488"/>
      <c r="R98" s="487"/>
      <c r="S98" s="489"/>
      <c r="T98" s="489"/>
      <c r="U98" s="489"/>
      <c r="V98" s="24"/>
    </row>
    <row r="99" spans="1:22" s="25" customFormat="1" ht="13" customHeight="1">
      <c r="B99" s="209">
        <f ca="1">IF(OR(C98&gt;=OP!F$57,C98=""),"",IF(C98+1&gt;OP!$F$57,OP!$F$57+1-$C$49,B98+1))</f>
        <v>51</v>
      </c>
      <c r="C99" s="209">
        <f ca="1">IF(OR($A$2=1,MAX($C$49:C98)&gt;=OP!$F$57),"",C98+(B99-B98))</f>
        <v>89</v>
      </c>
      <c r="D99" s="490" t="str">
        <f ca="1">IF(OR($A$2=1,$B99&gt;OP!$C$24),"",OP!$C$52)</f>
        <v/>
      </c>
      <c r="E99" s="491"/>
      <c r="F99" s="486">
        <f t="shared" ca="1" si="4"/>
        <v>693000</v>
      </c>
      <c r="G99" s="488"/>
      <c r="H99" s="487"/>
      <c r="I99" s="489">
        <f ca="1">IF(OR($A$2=1,$B99=""),"",VLOOKUP(OP!$C$55,DIE,$B99+1,0)*OP!$C$28)</f>
        <v>742000</v>
      </c>
      <c r="J99" s="489"/>
      <c r="K99" s="489"/>
      <c r="L99" s="209"/>
      <c r="M99" s="209"/>
      <c r="N99" s="486"/>
      <c r="O99" s="487"/>
      <c r="P99" s="486"/>
      <c r="Q99" s="488"/>
      <c r="R99" s="487"/>
      <c r="S99" s="489"/>
      <c r="T99" s="489"/>
      <c r="U99" s="489"/>
      <c r="V99" s="24"/>
    </row>
    <row r="100" spans="1:22" s="25" customFormat="1" ht="13" customHeight="1">
      <c r="B100" s="209" t="str">
        <f ca="1">IF(OR(C99&gt;=OP!F$57,C99=""),"",IF(C99+1&gt;OP!$F$57,OP!$F$57+1-$C$49,B99+1))</f>
        <v/>
      </c>
      <c r="C100" s="209" t="str">
        <f ca="1">IF(OR($A$2=1,MAX($C$49:C99)&gt;=OP!$F$57),"",C99+(B100-B99))</f>
        <v/>
      </c>
      <c r="D100" s="490" t="str">
        <f ca="1">IF(OR($A$2=1,$B100&gt;OP!$C$24),"",OP!$C$52)</f>
        <v/>
      </c>
      <c r="E100" s="491"/>
      <c r="F100" s="486" t="str">
        <f t="shared" ref="F100:F106" ca="1" si="5">IF(OR($A$2=1,$B100=""),"",N($F99)+N($D100))</f>
        <v/>
      </c>
      <c r="G100" s="488"/>
      <c r="H100" s="487"/>
      <c r="I100" s="489" t="str">
        <f ca="1">IF(OR($A$2=1,$B100=""),"",VLOOKUP(OP!$C$55,DIE,$B100+1,0)*OP!$C$28)</f>
        <v/>
      </c>
      <c r="J100" s="489"/>
      <c r="K100" s="489"/>
      <c r="L100" s="209"/>
      <c r="M100" s="209"/>
      <c r="N100" s="486"/>
      <c r="O100" s="487"/>
      <c r="P100" s="486"/>
      <c r="Q100" s="488"/>
      <c r="R100" s="487"/>
      <c r="S100" s="489"/>
      <c r="T100" s="489"/>
      <c r="U100" s="489"/>
      <c r="V100" s="24"/>
    </row>
    <row r="101" spans="1:22" s="25" customFormat="1" ht="13" customHeight="1">
      <c r="B101" s="209" t="str">
        <f ca="1">IF(OR(C100&gt;=OP!F$57,C100=""),"",IF(C100+1&gt;OP!$F$57,OP!$F$57+1-$C$49,B100+1))</f>
        <v/>
      </c>
      <c r="C101" s="209" t="str">
        <f ca="1">IF(OR($A$2=1,MAX($C$49:C100)&gt;=OP!$F$57),"",C100+(B101-B100))</f>
        <v/>
      </c>
      <c r="D101" s="490" t="str">
        <f ca="1">IF(OR($A$2=1,$B101&gt;OP!$C$24),"",OP!$C$52)</f>
        <v/>
      </c>
      <c r="E101" s="491"/>
      <c r="F101" s="486" t="str">
        <f t="shared" ca="1" si="5"/>
        <v/>
      </c>
      <c r="G101" s="488"/>
      <c r="H101" s="487"/>
      <c r="I101" s="489" t="str">
        <f ca="1">IF(OR($A$2=1,$B101=""),"",VLOOKUP(OP!$C$55,DIE,$B101+1,0)*OP!$C$28)</f>
        <v/>
      </c>
      <c r="J101" s="489"/>
      <c r="K101" s="489"/>
      <c r="L101" s="209"/>
      <c r="M101" s="209"/>
      <c r="N101" s="486"/>
      <c r="O101" s="487"/>
      <c r="P101" s="486"/>
      <c r="Q101" s="488"/>
      <c r="R101" s="487"/>
      <c r="S101" s="489"/>
      <c r="T101" s="489"/>
      <c r="U101" s="489"/>
      <c r="V101" s="24"/>
    </row>
    <row r="102" spans="1:22" s="25" customFormat="1" ht="13" customHeight="1">
      <c r="B102" s="209" t="str">
        <f ca="1">IF(OR(C101&gt;=OP!F$57,C101=""),"",IF(C101+1&gt;OP!$F$57,OP!$F$57+1-$C$49,B101+1))</f>
        <v/>
      </c>
      <c r="C102" s="209" t="str">
        <f ca="1">IF(OR($A$2=1,MAX($C$49:C101)&gt;=OP!$F$57),"",C101+(B102-B101))</f>
        <v/>
      </c>
      <c r="D102" s="490" t="str">
        <f ca="1">IF(OR($A$2=1,$B102&gt;OP!$C$24),"",OP!$C$52)</f>
        <v/>
      </c>
      <c r="E102" s="491"/>
      <c r="F102" s="486" t="str">
        <f t="shared" ca="1" si="5"/>
        <v/>
      </c>
      <c r="G102" s="488"/>
      <c r="H102" s="487"/>
      <c r="I102" s="489" t="str">
        <f ca="1">IF(OR($A$2=1,$B102=""),"",VLOOKUP(OP!$C$55,DIE,$B102+1,0)*OP!$C$28)</f>
        <v/>
      </c>
      <c r="J102" s="489"/>
      <c r="K102" s="489"/>
      <c r="L102" s="209"/>
      <c r="M102" s="209"/>
      <c r="N102" s="486"/>
      <c r="O102" s="487"/>
      <c r="P102" s="486"/>
      <c r="Q102" s="488"/>
      <c r="R102" s="487"/>
      <c r="S102" s="489"/>
      <c r="T102" s="489"/>
      <c r="U102" s="489"/>
      <c r="V102" s="24"/>
    </row>
    <row r="103" spans="1:22" s="25" customFormat="1" ht="13" customHeight="1">
      <c r="B103" s="209" t="str">
        <f ca="1">IF(OR(C102&gt;=OP!F$57,C102=""),"",IF(C102+1&gt;OP!$F$57,OP!$F$57+1-$C$49,B102+1))</f>
        <v/>
      </c>
      <c r="C103" s="209" t="str">
        <f ca="1">IF(OR($A$2=1,MAX($C$49:C102)&gt;=OP!$F$57),"",C102+(B103-B102))</f>
        <v/>
      </c>
      <c r="D103" s="490" t="str">
        <f ca="1">IF(OR($A$2=1,$B103&gt;OP!$C$24),"",OP!$C$52)</f>
        <v/>
      </c>
      <c r="E103" s="491"/>
      <c r="F103" s="486" t="str">
        <f t="shared" ca="1" si="5"/>
        <v/>
      </c>
      <c r="G103" s="488"/>
      <c r="H103" s="487"/>
      <c r="I103" s="489" t="str">
        <f ca="1">IF(OR($A$2=1,$B103=""),"",VLOOKUP(OP!$C$55,DIE,$B103+1,0)*OP!$C$28)</f>
        <v/>
      </c>
      <c r="J103" s="489"/>
      <c r="K103" s="489"/>
      <c r="L103" s="209"/>
      <c r="M103" s="209"/>
      <c r="N103" s="486"/>
      <c r="O103" s="487"/>
      <c r="P103" s="486"/>
      <c r="Q103" s="488"/>
      <c r="R103" s="487"/>
      <c r="S103" s="489"/>
      <c r="T103" s="489"/>
      <c r="U103" s="489"/>
      <c r="V103" s="24"/>
    </row>
    <row r="104" spans="1:22" s="25" customFormat="1" ht="13" customHeight="1">
      <c r="B104" s="209" t="str">
        <f ca="1">IF(OR(C103&gt;=OP!F$57,C103=""),"",IF(C103+1&gt;OP!$F$57,OP!$F$57+1-$C$49,B103+1))</f>
        <v/>
      </c>
      <c r="C104" s="209" t="str">
        <f ca="1">IF(OR($A$2=1,MAX($C$49:C103)&gt;=OP!$F$57),"",C103+(B104-B103))</f>
        <v/>
      </c>
      <c r="D104" s="490" t="str">
        <f ca="1">IF(OR($A$2=1,$B104&gt;OP!$C$24),"",OP!$C$52)</f>
        <v/>
      </c>
      <c r="E104" s="491"/>
      <c r="F104" s="486" t="str">
        <f t="shared" ca="1" si="5"/>
        <v/>
      </c>
      <c r="G104" s="488"/>
      <c r="H104" s="487"/>
      <c r="I104" s="489" t="str">
        <f ca="1">IF(OR($A$2=1,$B104=""),"",VLOOKUP(OP!$C$55,DIE,$B104+1,0)*OP!$C$28)</f>
        <v/>
      </c>
      <c r="J104" s="489"/>
      <c r="K104" s="489"/>
      <c r="L104" s="209"/>
      <c r="M104" s="209"/>
      <c r="N104" s="486"/>
      <c r="O104" s="487"/>
      <c r="P104" s="486"/>
      <c r="Q104" s="488"/>
      <c r="R104" s="487"/>
      <c r="S104" s="489"/>
      <c r="T104" s="489"/>
      <c r="U104" s="489"/>
      <c r="V104" s="24"/>
    </row>
    <row r="105" spans="1:22" s="25" customFormat="1" ht="13" customHeight="1">
      <c r="B105" s="209" t="str">
        <f ca="1">IF(OR(C104&gt;=OP!F$57,C104=""),"",IF(C104+1&gt;OP!$F$57,OP!$F$57+1-$C$49,B104+1))</f>
        <v/>
      </c>
      <c r="C105" s="209" t="str">
        <f ca="1">IF(OR($A$2=1,MAX($C$49:C104)&gt;=OP!$F$57),"",C104+(B105-B104))</f>
        <v/>
      </c>
      <c r="D105" s="490" t="str">
        <f ca="1">IF(OR($A$2=1,$B105&gt;OP!$C$24),"",OP!$C$52)</f>
        <v/>
      </c>
      <c r="E105" s="491"/>
      <c r="F105" s="486" t="str">
        <f t="shared" ca="1" si="5"/>
        <v/>
      </c>
      <c r="G105" s="488"/>
      <c r="H105" s="487"/>
      <c r="I105" s="489" t="str">
        <f ca="1">IF(OR($A$2=1,$B105=""),"",VLOOKUP(OP!$C$55,DIE,$B105+1,0)*OP!$C$28)</f>
        <v/>
      </c>
      <c r="J105" s="489"/>
      <c r="K105" s="489"/>
      <c r="L105" s="209"/>
      <c r="M105" s="209"/>
      <c r="N105" s="486"/>
      <c r="O105" s="487"/>
      <c r="P105" s="486"/>
      <c r="Q105" s="488"/>
      <c r="R105" s="487"/>
      <c r="S105" s="489"/>
      <c r="T105" s="489"/>
      <c r="U105" s="489"/>
      <c r="V105" s="24"/>
    </row>
    <row r="106" spans="1:22" s="25" customFormat="1" ht="13" customHeight="1">
      <c r="B106" s="209" t="str">
        <f ca="1">IF(OR(C105&gt;=OP!F$57,C105=""),"",IF(C105+1&gt;OP!$F$57,OP!$F$57+1-$C$49,B105+1))</f>
        <v/>
      </c>
      <c r="C106" s="209" t="str">
        <f ca="1">IF(OR($A$2=1,MAX($C$49:C105)&gt;=OP!$F$57),"",C105+(B106-B105))</f>
        <v/>
      </c>
      <c r="D106" s="490" t="str">
        <f ca="1">IF(OR($A$2=1,$B106&gt;OP!$C$24),"",OP!$C$52)</f>
        <v/>
      </c>
      <c r="E106" s="491"/>
      <c r="F106" s="486" t="str">
        <f t="shared" ca="1" si="5"/>
        <v/>
      </c>
      <c r="G106" s="488"/>
      <c r="H106" s="487"/>
      <c r="I106" s="489" t="str">
        <f ca="1">IF(OR($A$2=1,$B106=""),"",VLOOKUP(OP!$C$55,DIE,$B106+1,0)*OP!$C$28)</f>
        <v/>
      </c>
      <c r="J106" s="489"/>
      <c r="K106" s="489"/>
      <c r="L106" s="209"/>
      <c r="M106" s="209"/>
      <c r="N106" s="486"/>
      <c r="O106" s="487"/>
      <c r="P106" s="486"/>
      <c r="Q106" s="488"/>
      <c r="R106" s="487"/>
      <c r="S106" s="489"/>
      <c r="T106" s="489"/>
      <c r="U106" s="489"/>
      <c r="V106" s="24"/>
    </row>
    <row r="107" spans="1:22" s="25" customFormat="1" ht="13" customHeight="1">
      <c r="B107" s="127" t="s">
        <v>767</v>
      </c>
      <c r="C107" s="381"/>
      <c r="D107" s="422"/>
      <c r="E107" s="422"/>
      <c r="F107" s="422"/>
      <c r="G107" s="422"/>
      <c r="H107" s="422"/>
      <c r="I107" s="422"/>
      <c r="J107" s="422"/>
      <c r="K107" s="422"/>
      <c r="L107" s="422"/>
      <c r="M107" s="422"/>
      <c r="N107" s="422"/>
      <c r="O107" s="422"/>
      <c r="P107" s="422"/>
      <c r="Q107" s="422"/>
      <c r="R107" s="422"/>
      <c r="S107" s="422"/>
      <c r="T107" s="422"/>
      <c r="U107" s="422"/>
      <c r="V107" s="24"/>
    </row>
    <row r="108" spans="1:22" s="25" customFormat="1" ht="13" customHeight="1">
      <c r="B108" s="166" t="s">
        <v>828</v>
      </c>
      <c r="C108" s="381"/>
      <c r="D108" s="422"/>
      <c r="E108" s="422"/>
      <c r="F108" s="422"/>
      <c r="G108" s="422"/>
      <c r="H108" s="422"/>
      <c r="I108" s="422"/>
      <c r="J108" s="422"/>
      <c r="K108" s="422"/>
      <c r="L108" s="422"/>
      <c r="M108" s="422"/>
      <c r="N108" s="422"/>
      <c r="O108" s="422"/>
      <c r="P108" s="422"/>
      <c r="Q108" s="422"/>
      <c r="R108" s="422"/>
      <c r="S108" s="422"/>
      <c r="T108" s="422"/>
      <c r="U108" s="422"/>
      <c r="V108" s="24"/>
    </row>
    <row r="109" spans="1:22" s="25" customFormat="1" ht="12" customHeight="1">
      <c r="B109" s="166" t="s">
        <v>829</v>
      </c>
      <c r="C109" s="381"/>
      <c r="D109" s="379"/>
      <c r="E109" s="380"/>
      <c r="F109" s="380"/>
      <c r="G109" s="379"/>
      <c r="H109" s="380"/>
      <c r="I109" s="380"/>
      <c r="J109" s="380"/>
      <c r="K109" s="379"/>
      <c r="L109" s="380"/>
      <c r="M109" s="380"/>
      <c r="N109" s="380"/>
      <c r="O109" s="379"/>
      <c r="P109" s="380"/>
      <c r="Q109" s="380"/>
      <c r="R109" s="380"/>
      <c r="S109" s="379"/>
      <c r="T109" s="380"/>
      <c r="U109" s="380"/>
      <c r="V109" s="24"/>
    </row>
    <row r="110" spans="1:22" s="25" customFormat="1" ht="12" customHeight="1">
      <c r="B110" s="381"/>
      <c r="C110" s="381"/>
      <c r="D110" s="379"/>
      <c r="E110" s="380"/>
      <c r="F110" s="380"/>
      <c r="G110" s="379"/>
      <c r="H110" s="380"/>
      <c r="I110" s="380"/>
      <c r="J110" s="380"/>
      <c r="K110" s="379"/>
      <c r="L110" s="380"/>
      <c r="M110" s="380"/>
      <c r="N110" s="380"/>
      <c r="O110" s="379"/>
      <c r="P110" s="380"/>
      <c r="Q110" s="380"/>
      <c r="R110" s="380"/>
      <c r="S110" s="379"/>
      <c r="T110" s="380"/>
      <c r="U110" s="380"/>
      <c r="V110" s="24"/>
    </row>
    <row r="111" spans="1:22" s="25" customFormat="1" ht="14" customHeight="1">
      <c r="A111" s="36">
        <v>1</v>
      </c>
      <c r="B111" s="523" t="str">
        <f>OP!$D$107</f>
        <v>本建議書僅供參考，詳細商品內容及其變更，應以投保當時保單條款內容及本公司核保、保全作業規定為準</v>
      </c>
      <c r="C111" s="523"/>
      <c r="D111" s="523"/>
      <c r="E111" s="523"/>
      <c r="F111" s="523"/>
      <c r="G111" s="523"/>
      <c r="H111" s="523"/>
      <c r="I111" s="523"/>
      <c r="J111" s="523"/>
      <c r="K111" s="523"/>
      <c r="L111" s="523"/>
      <c r="M111" s="523"/>
      <c r="N111" s="523"/>
      <c r="O111" s="523"/>
      <c r="P111" s="523"/>
      <c r="Q111" s="523"/>
      <c r="R111" s="523"/>
      <c r="S111" s="523"/>
      <c r="T111" s="523"/>
      <c r="U111" s="523"/>
      <c r="V111" s="24"/>
    </row>
    <row r="112" spans="1:22" s="25" customFormat="1" ht="14" customHeight="1">
      <c r="B112" s="372"/>
      <c r="C112" s="373"/>
      <c r="D112" s="524" t="str">
        <f>OP!$D$106</f>
        <v xml:space="preserve"> ※本契約條款樣張須於訂立契約前提供要保人至少三日審閱期間</v>
      </c>
      <c r="E112" s="525"/>
      <c r="F112" s="525"/>
      <c r="G112" s="525"/>
      <c r="H112" s="525"/>
      <c r="I112" s="525"/>
      <c r="J112" s="525"/>
      <c r="K112" s="525"/>
      <c r="L112" s="525"/>
      <c r="M112" s="525"/>
      <c r="N112" s="525"/>
      <c r="O112" s="525"/>
      <c r="P112" s="262"/>
      <c r="R112" s="163"/>
      <c r="S112" s="163"/>
      <c r="T112" s="163"/>
      <c r="U112" s="164" t="str">
        <f ca="1">OP!$D$105</f>
        <v>V1.1-1150409 試算日：1150805</v>
      </c>
      <c r="V112" s="24"/>
    </row>
    <row r="113" spans="1:21" ht="14" customHeight="1">
      <c r="A113" s="10"/>
      <c r="B113" s="21"/>
      <c r="C113" s="17"/>
      <c r="D113" s="17"/>
      <c r="E113" s="17"/>
      <c r="F113" s="17"/>
      <c r="G113" s="17"/>
      <c r="H113" s="17"/>
      <c r="I113" s="17"/>
      <c r="J113" s="17"/>
      <c r="K113" s="17"/>
      <c r="L113" s="17"/>
      <c r="M113" s="17"/>
      <c r="N113" s="17"/>
      <c r="O113" s="17"/>
      <c r="P113" s="17"/>
      <c r="Q113" s="14"/>
      <c r="R113" s="15"/>
      <c r="S113" s="15"/>
      <c r="T113" s="30"/>
      <c r="U113" s="345" t="str">
        <f>IF(OP!$C$105="停售","本商品已停售","")</f>
        <v/>
      </c>
    </row>
    <row r="114" spans="1:21" ht="18" customHeight="1">
      <c r="A114" s="10"/>
      <c r="B114" s="547" t="s">
        <v>483</v>
      </c>
      <c r="C114" s="547"/>
      <c r="D114" s="547"/>
      <c r="E114" s="547"/>
      <c r="F114" s="547"/>
      <c r="G114" s="547"/>
      <c r="H114" s="547"/>
      <c r="I114" s="547"/>
      <c r="J114" s="547"/>
      <c r="K114" s="547"/>
      <c r="L114" s="547"/>
      <c r="M114" s="547"/>
      <c r="N114" s="547"/>
      <c r="O114" s="547"/>
      <c r="P114" s="547"/>
      <c r="Q114" s="547"/>
      <c r="R114" s="547"/>
      <c r="S114" s="547"/>
      <c r="T114" s="547"/>
      <c r="U114" s="547"/>
    </row>
    <row r="115" spans="1:21" s="106" customFormat="1" ht="14" customHeight="1">
      <c r="A115" s="105">
        <v>1</v>
      </c>
      <c r="B115" s="125" t="str">
        <f>OP!$C$23&amp;"("&amp;OP!$C$22&amp;")"</f>
        <v>富邦人壽真馨相守防癌定期健康保險(CLX)</v>
      </c>
      <c r="D115" s="26"/>
      <c r="E115" s="26"/>
      <c r="F115" s="26"/>
      <c r="G115" s="26"/>
      <c r="H115" s="26"/>
      <c r="I115" s="26"/>
      <c r="J115" s="26"/>
      <c r="K115" s="26"/>
      <c r="L115" s="26"/>
      <c r="M115" s="26"/>
      <c r="N115" s="26"/>
      <c r="O115" s="26"/>
      <c r="P115" s="26"/>
      <c r="Q115" s="26"/>
      <c r="R115" s="26"/>
      <c r="S115" s="26"/>
      <c r="T115" s="26"/>
      <c r="U115" s="26"/>
    </row>
    <row r="116" spans="1:21" s="106" customFormat="1" ht="14" customHeight="1">
      <c r="A116" s="105"/>
      <c r="B116" s="125" t="s">
        <v>800</v>
      </c>
      <c r="D116" s="26"/>
      <c r="E116" s="26"/>
      <c r="F116" s="26"/>
      <c r="G116" s="26"/>
      <c r="H116" s="26"/>
      <c r="I116" s="26"/>
      <c r="J116" s="26"/>
      <c r="K116" s="26"/>
      <c r="L116" s="26"/>
      <c r="M116" s="26"/>
      <c r="N116" s="26"/>
      <c r="O116" s="26"/>
      <c r="P116" s="26"/>
      <c r="Q116" s="26"/>
      <c r="R116" s="26"/>
      <c r="S116" s="26"/>
      <c r="T116" s="26"/>
      <c r="U116" s="26"/>
    </row>
    <row r="117" spans="1:21" s="106" customFormat="1" ht="14" customHeight="1">
      <c r="A117" s="105"/>
      <c r="B117" s="125" t="s">
        <v>801</v>
      </c>
      <c r="D117" s="26"/>
      <c r="E117" s="26"/>
      <c r="F117" s="26"/>
      <c r="G117" s="26"/>
      <c r="H117" s="26"/>
      <c r="I117" s="26"/>
      <c r="J117" s="26"/>
      <c r="K117" s="26"/>
      <c r="L117" s="26"/>
      <c r="M117" s="26"/>
      <c r="N117" s="26"/>
      <c r="O117" s="26"/>
      <c r="P117" s="26"/>
      <c r="Q117" s="26"/>
      <c r="R117" s="26"/>
      <c r="S117" s="26"/>
      <c r="T117" s="26"/>
      <c r="U117" s="26"/>
    </row>
    <row r="118" spans="1:21" s="106" customFormat="1" ht="14" customHeight="1">
      <c r="A118" s="105"/>
      <c r="B118" s="125" t="s">
        <v>789</v>
      </c>
      <c r="D118" s="26"/>
      <c r="E118" s="26"/>
      <c r="F118" s="26"/>
      <c r="G118" s="26"/>
      <c r="H118" s="26"/>
      <c r="I118" s="26"/>
      <c r="J118" s="26"/>
      <c r="K118" s="26"/>
      <c r="L118" s="26"/>
      <c r="M118" s="26"/>
      <c r="N118" s="26"/>
      <c r="O118" s="26"/>
      <c r="P118" s="26"/>
      <c r="Q118" s="26"/>
      <c r="R118" s="26"/>
      <c r="S118" s="26"/>
      <c r="T118" s="26"/>
      <c r="U118" s="26"/>
    </row>
    <row r="119" spans="1:21" s="106" customFormat="1" ht="14" customHeight="1">
      <c r="A119" s="105"/>
      <c r="B119" s="125" t="s">
        <v>274</v>
      </c>
      <c r="D119" s="26"/>
      <c r="E119" s="26"/>
      <c r="F119" s="26"/>
      <c r="G119" s="26"/>
      <c r="H119" s="26"/>
      <c r="I119" s="26"/>
      <c r="J119" s="26"/>
      <c r="K119" s="26"/>
      <c r="L119" s="26"/>
      <c r="M119" s="26"/>
      <c r="N119" s="26"/>
      <c r="O119" s="26"/>
      <c r="P119" s="26"/>
      <c r="Q119" s="26"/>
      <c r="R119" s="26"/>
      <c r="S119" s="26"/>
      <c r="T119" s="26"/>
      <c r="U119" s="26"/>
    </row>
    <row r="120" spans="1:21" s="106" customFormat="1" ht="14" customHeight="1">
      <c r="A120" s="105"/>
      <c r="B120" s="166" t="s">
        <v>512</v>
      </c>
      <c r="D120" s="26"/>
      <c r="E120" s="26"/>
      <c r="F120" s="26"/>
      <c r="G120" s="26"/>
      <c r="H120" s="26"/>
      <c r="I120" s="26"/>
      <c r="J120" s="26"/>
      <c r="K120" s="26"/>
      <c r="L120" s="26"/>
      <c r="M120" s="26"/>
      <c r="N120" s="26"/>
      <c r="O120" s="26"/>
      <c r="P120" s="26"/>
      <c r="Q120" s="26"/>
      <c r="R120" s="26"/>
      <c r="S120" s="26"/>
      <c r="T120" s="26"/>
      <c r="U120" s="26"/>
    </row>
    <row r="121" spans="1:21" s="106" customFormat="1" ht="14" customHeight="1">
      <c r="A121" s="105">
        <v>2</v>
      </c>
      <c r="B121" s="166" t="s">
        <v>790</v>
      </c>
      <c r="D121" s="26"/>
      <c r="E121" s="26"/>
      <c r="F121" s="26"/>
      <c r="G121" s="26"/>
      <c r="H121" s="26"/>
      <c r="I121" s="26"/>
      <c r="J121" s="26"/>
      <c r="K121" s="26"/>
      <c r="L121" s="26"/>
      <c r="M121" s="26"/>
      <c r="N121" s="26"/>
      <c r="O121" s="26"/>
      <c r="P121" s="26"/>
      <c r="Q121" s="26"/>
      <c r="R121" s="26"/>
      <c r="S121" s="26"/>
      <c r="T121" s="26"/>
      <c r="U121" s="26"/>
    </row>
    <row r="122" spans="1:21" s="106" customFormat="1" ht="14" customHeight="1">
      <c r="A122" s="105">
        <v>3</v>
      </c>
      <c r="B122" s="166" t="s">
        <v>804</v>
      </c>
      <c r="D122" s="26"/>
      <c r="E122" s="26"/>
      <c r="F122" s="26"/>
      <c r="G122" s="26"/>
      <c r="H122" s="26"/>
      <c r="I122" s="26"/>
      <c r="J122" s="26"/>
      <c r="K122" s="26"/>
      <c r="L122" s="26"/>
      <c r="M122" s="26"/>
      <c r="N122" s="26"/>
      <c r="O122" s="26"/>
      <c r="P122" s="26"/>
      <c r="Q122" s="26"/>
      <c r="R122" s="26"/>
      <c r="S122" s="26"/>
      <c r="T122" s="26"/>
      <c r="U122" s="26"/>
    </row>
    <row r="123" spans="1:21" s="106" customFormat="1" ht="14" customHeight="1">
      <c r="A123" s="105">
        <v>4</v>
      </c>
      <c r="B123" s="423" t="s">
        <v>791</v>
      </c>
      <c r="D123" s="26"/>
      <c r="E123" s="26"/>
      <c r="F123" s="26"/>
      <c r="G123" s="26"/>
      <c r="H123" s="26"/>
      <c r="I123" s="26"/>
      <c r="J123" s="26"/>
      <c r="K123" s="26"/>
      <c r="L123" s="26"/>
      <c r="M123" s="26"/>
      <c r="N123" s="26"/>
      <c r="O123" s="26"/>
      <c r="P123" s="26"/>
      <c r="Q123" s="26"/>
      <c r="R123" s="26"/>
      <c r="S123" s="26"/>
      <c r="T123" s="26"/>
      <c r="U123" s="26"/>
    </row>
    <row r="124" spans="1:21" s="106" customFormat="1" ht="14" customHeight="1">
      <c r="A124" s="105">
        <v>5</v>
      </c>
      <c r="B124" s="211" t="s">
        <v>811</v>
      </c>
      <c r="D124" s="26"/>
      <c r="E124" s="26"/>
      <c r="F124" s="26"/>
      <c r="G124" s="26"/>
      <c r="H124" s="26"/>
      <c r="I124" s="26"/>
      <c r="J124" s="26"/>
      <c r="K124" s="26"/>
      <c r="L124" s="26"/>
      <c r="M124" s="26"/>
      <c r="N124" s="26"/>
      <c r="O124" s="26"/>
      <c r="P124" s="26"/>
      <c r="Q124" s="26"/>
      <c r="R124" s="26"/>
      <c r="S124" s="26"/>
      <c r="T124" s="26"/>
      <c r="U124" s="26"/>
    </row>
    <row r="125" spans="1:21" s="106" customFormat="1" ht="14" customHeight="1">
      <c r="A125" s="105">
        <v>6</v>
      </c>
      <c r="B125" s="211" t="s">
        <v>812</v>
      </c>
      <c r="C125" s="139"/>
      <c r="D125" s="140"/>
      <c r="E125" s="140"/>
      <c r="F125" s="140"/>
      <c r="G125" s="140"/>
      <c r="H125" s="140"/>
      <c r="I125" s="140"/>
      <c r="J125" s="140"/>
      <c r="K125" s="140"/>
      <c r="L125" s="140"/>
      <c r="M125" s="140"/>
      <c r="N125" s="140"/>
      <c r="O125" s="140"/>
      <c r="P125" s="26"/>
      <c r="Q125" s="26"/>
      <c r="R125" s="26"/>
      <c r="S125" s="26"/>
      <c r="T125" s="26"/>
      <c r="U125" s="26"/>
    </row>
    <row r="126" spans="1:21" s="106" customFormat="1" ht="14" customHeight="1">
      <c r="A126" s="105">
        <v>7</v>
      </c>
      <c r="B126" s="211" t="s">
        <v>831</v>
      </c>
      <c r="D126" s="26"/>
      <c r="E126" s="26"/>
      <c r="F126" s="26"/>
      <c r="G126" s="26"/>
      <c r="H126" s="26"/>
      <c r="I126" s="26"/>
      <c r="J126" s="26"/>
      <c r="K126" s="26"/>
      <c r="L126" s="26"/>
      <c r="M126" s="26"/>
      <c r="N126" s="26"/>
      <c r="O126" s="26"/>
      <c r="P126" s="26"/>
      <c r="Q126" s="26"/>
      <c r="R126" s="26"/>
      <c r="S126" s="26"/>
      <c r="T126" s="26"/>
      <c r="U126" s="26"/>
    </row>
    <row r="127" spans="1:21" s="106" customFormat="1" ht="14" customHeight="1">
      <c r="A127" s="105"/>
      <c r="B127" s="211" t="s">
        <v>300</v>
      </c>
      <c r="D127" s="26"/>
      <c r="E127" s="26"/>
      <c r="F127" s="26"/>
      <c r="G127" s="26"/>
      <c r="H127" s="26"/>
      <c r="I127" s="26"/>
      <c r="J127" s="26"/>
      <c r="K127" s="26"/>
      <c r="L127" s="26"/>
      <c r="M127" s="26"/>
      <c r="N127" s="26"/>
      <c r="O127" s="26"/>
      <c r="P127" s="26"/>
      <c r="Q127" s="26"/>
      <c r="R127" s="26"/>
      <c r="S127" s="26"/>
      <c r="T127" s="26"/>
      <c r="U127" s="26"/>
    </row>
    <row r="128" spans="1:21" s="106" customFormat="1" ht="14" customHeight="1">
      <c r="A128" s="105"/>
      <c r="B128" s="211" t="s">
        <v>805</v>
      </c>
      <c r="D128" s="26"/>
      <c r="E128" s="26"/>
      <c r="F128" s="26"/>
      <c r="G128" s="26"/>
      <c r="H128" s="26"/>
      <c r="I128" s="26"/>
      <c r="J128" s="26"/>
      <c r="K128" s="26"/>
      <c r="L128" s="26"/>
      <c r="M128" s="26"/>
      <c r="N128" s="26"/>
      <c r="O128" s="26"/>
      <c r="P128" s="26"/>
      <c r="Q128" s="26"/>
      <c r="R128" s="26"/>
      <c r="S128" s="26"/>
      <c r="T128" s="26"/>
      <c r="U128" s="26"/>
    </row>
    <row r="129" spans="1:21" s="106" customFormat="1" ht="14" customHeight="1">
      <c r="A129" s="105"/>
      <c r="B129" s="211" t="s">
        <v>806</v>
      </c>
      <c r="D129" s="26"/>
      <c r="E129" s="26"/>
      <c r="F129" s="26"/>
      <c r="G129" s="26"/>
      <c r="H129" s="26"/>
      <c r="I129" s="26"/>
      <c r="J129" s="26"/>
      <c r="K129" s="26"/>
      <c r="L129" s="26"/>
      <c r="M129" s="26"/>
      <c r="N129" s="26"/>
      <c r="O129" s="26"/>
      <c r="P129" s="26"/>
      <c r="Q129" s="26"/>
      <c r="R129" s="26"/>
      <c r="S129" s="26"/>
      <c r="T129" s="26"/>
      <c r="U129" s="26"/>
    </row>
    <row r="130" spans="1:21" s="106" customFormat="1" ht="14" customHeight="1">
      <c r="A130" s="105"/>
      <c r="B130" s="211" t="s">
        <v>807</v>
      </c>
      <c r="D130" s="26"/>
      <c r="E130" s="26"/>
      <c r="F130" s="26"/>
      <c r="G130" s="26"/>
      <c r="H130" s="26"/>
      <c r="I130" s="26"/>
      <c r="J130" s="26"/>
      <c r="K130" s="26"/>
      <c r="L130" s="26"/>
      <c r="M130" s="26"/>
      <c r="N130" s="26"/>
      <c r="O130" s="26"/>
      <c r="P130" s="26"/>
      <c r="Q130" s="26"/>
      <c r="R130" s="26"/>
      <c r="S130" s="26"/>
      <c r="T130" s="26"/>
      <c r="U130" s="26"/>
    </row>
    <row r="131" spans="1:21" s="106" customFormat="1" ht="14" customHeight="1">
      <c r="A131" s="105"/>
      <c r="B131" s="211" t="s">
        <v>808</v>
      </c>
      <c r="D131" s="26"/>
      <c r="E131" s="26"/>
      <c r="F131" s="26"/>
      <c r="G131" s="26"/>
      <c r="H131" s="26"/>
      <c r="I131" s="26"/>
      <c r="J131" s="26"/>
      <c r="K131" s="26"/>
      <c r="L131" s="26"/>
      <c r="M131" s="26"/>
      <c r="N131" s="26"/>
      <c r="O131" s="26"/>
      <c r="P131" s="26"/>
      <c r="Q131" s="26"/>
      <c r="R131" s="26"/>
      <c r="S131" s="26"/>
      <c r="T131" s="26"/>
      <c r="U131" s="26"/>
    </row>
    <row r="132" spans="1:21" s="12" customFormat="1" ht="14" customHeight="1">
      <c r="A132" s="244"/>
      <c r="B132" s="211" t="s">
        <v>832</v>
      </c>
      <c r="C132" s="106"/>
      <c r="D132" s="137"/>
      <c r="E132" s="212"/>
      <c r="F132" s="212"/>
      <c r="G132" s="212"/>
      <c r="H132" s="212"/>
      <c r="I132" s="212"/>
      <c r="J132" s="212"/>
      <c r="K132" s="212"/>
      <c r="L132" s="212"/>
      <c r="M132" s="212"/>
      <c r="N132" s="212"/>
      <c r="O132" s="212"/>
      <c r="P132" s="212"/>
      <c r="Q132" s="212"/>
      <c r="R132" s="212"/>
      <c r="S132" s="212"/>
      <c r="T132" s="213"/>
      <c r="U132" s="214"/>
    </row>
    <row r="133" spans="1:21" s="12" customFormat="1" ht="14" customHeight="1">
      <c r="A133" s="244"/>
      <c r="B133" s="211" t="s">
        <v>833</v>
      </c>
      <c r="C133" s="106"/>
      <c r="D133" s="141"/>
      <c r="E133" s="215"/>
      <c r="F133" s="215"/>
      <c r="G133" s="215"/>
      <c r="H133" s="215"/>
      <c r="I133" s="215"/>
      <c r="J133" s="215"/>
      <c r="K133" s="215"/>
      <c r="L133" s="215"/>
      <c r="M133" s="215"/>
      <c r="N133" s="215"/>
      <c r="O133" s="215"/>
      <c r="P133" s="215"/>
      <c r="Q133" s="215"/>
      <c r="R133" s="215"/>
      <c r="S133" s="215"/>
      <c r="T133" s="137"/>
      <c r="U133" s="214"/>
    </row>
    <row r="134" spans="1:21" s="12" customFormat="1" ht="14" customHeight="1">
      <c r="A134" s="244"/>
      <c r="B134" s="211" t="s">
        <v>834</v>
      </c>
      <c r="C134" s="106"/>
      <c r="D134" s="141"/>
      <c r="E134" s="215"/>
      <c r="F134" s="215"/>
      <c r="G134" s="215"/>
      <c r="H134" s="215"/>
      <c r="I134" s="215"/>
      <c r="J134" s="215"/>
      <c r="K134" s="215"/>
      <c r="L134" s="215"/>
      <c r="M134" s="215"/>
      <c r="N134" s="215"/>
      <c r="O134" s="215"/>
      <c r="P134" s="215"/>
      <c r="Q134" s="215"/>
      <c r="R134" s="215"/>
      <c r="S134" s="215"/>
      <c r="T134" s="216"/>
      <c r="U134" s="214"/>
    </row>
    <row r="135" spans="1:21" s="12" customFormat="1" ht="14" customHeight="1">
      <c r="A135" s="244"/>
      <c r="B135" s="211" t="s">
        <v>809</v>
      </c>
      <c r="D135" s="245"/>
      <c r="E135" s="246"/>
      <c r="F135" s="246"/>
      <c r="G135" s="246"/>
      <c r="H135" s="246"/>
      <c r="I135" s="246"/>
      <c r="J135" s="246"/>
      <c r="K135" s="246"/>
      <c r="L135" s="246"/>
      <c r="M135" s="246"/>
      <c r="N135" s="246"/>
      <c r="O135" s="246"/>
      <c r="P135" s="246"/>
      <c r="Q135" s="246"/>
      <c r="R135" s="246"/>
      <c r="S135" s="245"/>
      <c r="T135" s="247"/>
      <c r="U135" s="247"/>
    </row>
    <row r="136" spans="1:21" s="12" customFormat="1" ht="14" customHeight="1">
      <c r="A136" s="244"/>
      <c r="B136" s="211" t="s">
        <v>810</v>
      </c>
      <c r="D136" s="248"/>
      <c r="E136" s="248"/>
      <c r="F136" s="248"/>
      <c r="G136" s="248"/>
      <c r="H136" s="249"/>
      <c r="I136" s="249"/>
      <c r="J136" s="249"/>
      <c r="K136" s="249"/>
      <c r="L136" s="249"/>
      <c r="M136" s="249"/>
      <c r="N136" s="249"/>
      <c r="O136" s="249"/>
      <c r="P136" s="249"/>
      <c r="Q136" s="249"/>
      <c r="R136" s="249"/>
      <c r="S136" s="249"/>
      <c r="T136" s="29"/>
      <c r="U136" s="29"/>
    </row>
    <row r="137" spans="1:21" s="12" customFormat="1" ht="14" customHeight="1">
      <c r="A137" s="244"/>
      <c r="B137" s="211"/>
      <c r="D137" s="248"/>
      <c r="E137" s="248"/>
      <c r="F137" s="248"/>
      <c r="G137" s="248"/>
      <c r="H137" s="249"/>
      <c r="I137" s="249"/>
      <c r="J137" s="249"/>
      <c r="K137" s="249"/>
      <c r="L137" s="249"/>
      <c r="M137" s="249"/>
      <c r="N137" s="249"/>
      <c r="O137" s="249"/>
      <c r="P137" s="249"/>
      <c r="Q137" s="249"/>
      <c r="R137" s="249"/>
      <c r="S137" s="249"/>
      <c r="T137" s="29"/>
      <c r="U137" s="29"/>
    </row>
    <row r="138" spans="1:21" s="12" customFormat="1" ht="14" customHeight="1">
      <c r="A138" s="244"/>
      <c r="B138" s="211"/>
      <c r="D138" s="248"/>
      <c r="E138" s="248"/>
      <c r="F138" s="248"/>
      <c r="G138" s="248"/>
      <c r="H138" s="249"/>
      <c r="I138" s="249"/>
      <c r="J138" s="249"/>
      <c r="K138" s="249"/>
      <c r="L138" s="249"/>
      <c r="M138" s="249"/>
      <c r="N138" s="249"/>
      <c r="O138" s="249"/>
      <c r="P138" s="249"/>
      <c r="Q138" s="249"/>
      <c r="R138" s="249"/>
      <c r="S138" s="249"/>
      <c r="T138" s="29"/>
      <c r="U138" s="29"/>
    </row>
    <row r="139" spans="1:21" s="12" customFormat="1" ht="14" customHeight="1">
      <c r="A139" s="244"/>
      <c r="B139" s="211"/>
      <c r="D139" s="248"/>
      <c r="E139" s="248"/>
      <c r="F139" s="248"/>
      <c r="G139" s="248"/>
      <c r="H139" s="249"/>
      <c r="I139" s="249"/>
      <c r="J139" s="249"/>
      <c r="K139" s="249"/>
      <c r="L139" s="249"/>
      <c r="M139" s="249"/>
      <c r="N139" s="249"/>
      <c r="O139" s="249"/>
      <c r="P139" s="249"/>
      <c r="Q139" s="249"/>
      <c r="R139" s="249"/>
      <c r="S139" s="249"/>
      <c r="T139" s="29"/>
      <c r="U139" s="29"/>
    </row>
    <row r="140" spans="1:21" s="12" customFormat="1" ht="14" customHeight="1">
      <c r="A140" s="244"/>
      <c r="B140" s="211"/>
      <c r="D140" s="248"/>
      <c r="E140" s="248"/>
      <c r="F140" s="248"/>
      <c r="G140" s="248"/>
      <c r="H140" s="249"/>
      <c r="I140" s="249"/>
      <c r="J140" s="249"/>
      <c r="K140" s="249"/>
      <c r="L140" s="249"/>
      <c r="M140" s="249"/>
      <c r="N140" s="249"/>
      <c r="O140" s="249"/>
      <c r="P140" s="249"/>
      <c r="Q140" s="249"/>
      <c r="R140" s="249"/>
      <c r="S140" s="249"/>
      <c r="T140" s="29"/>
      <c r="U140" s="29"/>
    </row>
    <row r="141" spans="1:21" s="12" customFormat="1" ht="14" customHeight="1">
      <c r="A141" s="244"/>
      <c r="B141" s="211"/>
      <c r="D141" s="248"/>
      <c r="E141" s="248"/>
      <c r="F141" s="248"/>
      <c r="G141" s="248"/>
      <c r="H141" s="249"/>
      <c r="I141" s="249"/>
      <c r="J141" s="249"/>
      <c r="K141" s="249"/>
      <c r="L141" s="249"/>
      <c r="M141" s="249"/>
      <c r="N141" s="249"/>
      <c r="O141" s="249"/>
      <c r="P141" s="249"/>
      <c r="Q141" s="249"/>
      <c r="R141" s="249"/>
      <c r="S141" s="249"/>
      <c r="T141" s="29"/>
      <c r="U141" s="29"/>
    </row>
    <row r="142" spans="1:21" s="12" customFormat="1" ht="14" customHeight="1">
      <c r="A142" s="244"/>
      <c r="B142" s="211"/>
      <c r="D142" s="245"/>
      <c r="E142" s="250"/>
      <c r="F142" s="250"/>
      <c r="G142" s="250"/>
      <c r="H142" s="251"/>
      <c r="I142" s="251"/>
      <c r="J142" s="251"/>
      <c r="K142" s="251"/>
      <c r="L142" s="251"/>
      <c r="M142" s="251"/>
      <c r="N142" s="251"/>
      <c r="O142" s="251"/>
      <c r="P142" s="251"/>
      <c r="Q142" s="251"/>
      <c r="R142" s="251"/>
      <c r="S142" s="251"/>
      <c r="T142" s="29"/>
      <c r="U142" s="29"/>
    </row>
    <row r="143" spans="1:21" s="12" customFormat="1" ht="14" customHeight="1">
      <c r="A143" s="244"/>
      <c r="B143" s="211"/>
      <c r="D143" s="245"/>
      <c r="E143" s="250"/>
      <c r="F143" s="250"/>
      <c r="G143" s="250"/>
      <c r="H143" s="251"/>
      <c r="I143" s="251"/>
      <c r="J143" s="251"/>
      <c r="K143" s="251"/>
      <c r="L143" s="251"/>
      <c r="M143" s="251"/>
      <c r="N143" s="251"/>
      <c r="O143" s="251"/>
      <c r="P143" s="251"/>
      <c r="Q143" s="251"/>
      <c r="R143" s="251"/>
      <c r="S143" s="251"/>
      <c r="T143" s="29"/>
      <c r="U143" s="29"/>
    </row>
    <row r="144" spans="1:21" s="12" customFormat="1" ht="14" customHeight="1">
      <c r="A144" s="244"/>
      <c r="B144" s="211"/>
      <c r="D144" s="245"/>
      <c r="E144" s="250"/>
      <c r="F144" s="250"/>
      <c r="G144" s="250"/>
      <c r="H144" s="251"/>
      <c r="I144" s="251"/>
      <c r="J144" s="251"/>
      <c r="K144" s="251"/>
      <c r="L144" s="251"/>
      <c r="M144" s="251"/>
      <c r="N144" s="251"/>
      <c r="O144" s="251"/>
      <c r="P144" s="251"/>
      <c r="Q144" s="251"/>
      <c r="R144" s="251"/>
      <c r="S144" s="251"/>
      <c r="T144" s="29"/>
      <c r="U144" s="29"/>
    </row>
    <row r="145" spans="1:21" s="12" customFormat="1" ht="14" customHeight="1">
      <c r="A145" s="244"/>
      <c r="B145" s="211"/>
      <c r="D145" s="245"/>
      <c r="E145" s="250"/>
      <c r="F145" s="250"/>
      <c r="G145" s="250"/>
      <c r="H145" s="251"/>
      <c r="I145" s="251"/>
      <c r="J145" s="251"/>
      <c r="K145" s="251"/>
      <c r="L145" s="251"/>
      <c r="M145" s="251"/>
      <c r="N145" s="251"/>
      <c r="O145" s="251"/>
      <c r="P145" s="251"/>
      <c r="Q145" s="251"/>
      <c r="R145" s="251"/>
      <c r="S145" s="251"/>
      <c r="T145" s="29"/>
      <c r="U145" s="29"/>
    </row>
    <row r="146" spans="1:21" s="12" customFormat="1" ht="14" customHeight="1">
      <c r="A146" s="244"/>
      <c r="B146" s="211"/>
      <c r="D146" s="245"/>
      <c r="E146" s="250"/>
      <c r="F146" s="250"/>
      <c r="G146" s="250"/>
      <c r="H146" s="251"/>
      <c r="I146" s="251"/>
      <c r="J146" s="251"/>
      <c r="K146" s="251"/>
      <c r="L146" s="251"/>
      <c r="M146" s="251"/>
      <c r="N146" s="251"/>
      <c r="O146" s="251"/>
      <c r="P146" s="251"/>
      <c r="Q146" s="251"/>
      <c r="R146" s="251"/>
      <c r="S146" s="251"/>
      <c r="T146" s="29"/>
      <c r="U146" s="29"/>
    </row>
    <row r="147" spans="1:21" s="12" customFormat="1" ht="14" customHeight="1">
      <c r="A147" s="244"/>
      <c r="B147" s="211"/>
      <c r="D147" s="245"/>
      <c r="E147" s="250"/>
      <c r="F147" s="250"/>
      <c r="G147" s="250"/>
      <c r="H147" s="251"/>
      <c r="I147" s="251"/>
      <c r="J147" s="251"/>
      <c r="K147" s="251"/>
      <c r="L147" s="251"/>
      <c r="M147" s="251"/>
      <c r="N147" s="251"/>
      <c r="O147" s="251"/>
      <c r="P147" s="251"/>
      <c r="Q147" s="251"/>
      <c r="R147" s="251"/>
      <c r="S147" s="251"/>
      <c r="T147" s="29"/>
      <c r="U147" s="29"/>
    </row>
    <row r="148" spans="1:21" s="12" customFormat="1" ht="14" customHeight="1">
      <c r="A148" s="244"/>
      <c r="B148" s="211"/>
      <c r="D148" s="245"/>
      <c r="E148" s="250"/>
      <c r="F148" s="250"/>
      <c r="G148" s="250"/>
      <c r="H148" s="251"/>
      <c r="I148" s="251"/>
      <c r="J148" s="251"/>
      <c r="K148" s="251"/>
      <c r="L148" s="251"/>
      <c r="M148" s="251"/>
      <c r="N148" s="251"/>
      <c r="O148" s="251"/>
      <c r="P148" s="251"/>
      <c r="Q148" s="251"/>
      <c r="R148" s="251"/>
      <c r="S148" s="251"/>
      <c r="T148" s="29"/>
      <c r="U148" s="29"/>
    </row>
    <row r="149" spans="1:21" s="12" customFormat="1" ht="14" customHeight="1">
      <c r="A149" s="244"/>
      <c r="B149" s="211"/>
      <c r="D149" s="245"/>
      <c r="E149" s="250"/>
      <c r="F149" s="250"/>
      <c r="G149" s="250"/>
      <c r="H149" s="251"/>
      <c r="I149" s="251"/>
      <c r="J149" s="251"/>
      <c r="K149" s="251"/>
      <c r="L149" s="251"/>
      <c r="M149" s="251"/>
      <c r="N149" s="251"/>
      <c r="O149" s="251"/>
      <c r="P149" s="251"/>
      <c r="Q149" s="251"/>
      <c r="R149" s="251"/>
      <c r="S149" s="251"/>
      <c r="T149" s="29"/>
      <c r="U149" s="29"/>
    </row>
    <row r="150" spans="1:21" s="12" customFormat="1" ht="14" customHeight="1">
      <c r="A150" s="244"/>
      <c r="B150" s="211"/>
      <c r="D150" s="245"/>
      <c r="E150" s="250"/>
      <c r="F150" s="250"/>
      <c r="G150" s="250"/>
      <c r="H150" s="251"/>
      <c r="I150" s="251"/>
      <c r="J150" s="251"/>
      <c r="K150" s="251"/>
      <c r="L150" s="251"/>
      <c r="M150" s="251"/>
      <c r="N150" s="251"/>
      <c r="O150" s="251"/>
      <c r="P150" s="251"/>
      <c r="Q150" s="251"/>
      <c r="R150" s="251"/>
      <c r="S150" s="251"/>
      <c r="T150" s="29"/>
      <c r="U150" s="29"/>
    </row>
    <row r="151" spans="1:21" s="12" customFormat="1" ht="14" customHeight="1">
      <c r="A151" s="244"/>
      <c r="D151" s="245"/>
      <c r="E151" s="252"/>
      <c r="F151" s="252"/>
      <c r="G151" s="252"/>
      <c r="H151" s="253"/>
      <c r="I151" s="253"/>
      <c r="J151" s="253"/>
      <c r="K151" s="253"/>
      <c r="L151" s="253"/>
      <c r="M151" s="253"/>
      <c r="N151" s="253"/>
      <c r="O151" s="253"/>
      <c r="P151" s="253"/>
      <c r="Q151" s="253"/>
      <c r="R151" s="253"/>
      <c r="S151" s="253"/>
      <c r="T151" s="151"/>
      <c r="U151" s="151"/>
    </row>
    <row r="152" spans="1:21" s="12" customFormat="1" ht="14" customHeight="1">
      <c r="A152" s="244"/>
      <c r="B152" s="260" t="s">
        <v>304</v>
      </c>
      <c r="C152" s="106"/>
      <c r="D152" s="136"/>
      <c r="E152" s="153"/>
      <c r="F152" s="153"/>
      <c r="G152" s="153"/>
      <c r="H152" s="154"/>
      <c r="I152" s="154"/>
      <c r="J152" s="154"/>
      <c r="K152" s="154"/>
      <c r="L152" s="154"/>
      <c r="M152" s="154"/>
      <c r="N152" s="154"/>
      <c r="O152" s="154"/>
      <c r="P152" s="154"/>
      <c r="Q152" s="154"/>
      <c r="R152" s="154"/>
      <c r="S152" s="154"/>
      <c r="T152" s="155"/>
      <c r="U152" s="155"/>
    </row>
    <row r="153" spans="1:21" s="12" customFormat="1" ht="14" customHeight="1">
      <c r="A153" s="211"/>
      <c r="B153" s="261" t="s">
        <v>305</v>
      </c>
      <c r="C153" s="106"/>
      <c r="D153" s="136"/>
      <c r="E153" s="153"/>
      <c r="F153" s="153"/>
      <c r="G153" s="153"/>
      <c r="H153" s="154"/>
      <c r="I153" s="154"/>
      <c r="J153" s="154"/>
      <c r="K153" s="154"/>
      <c r="L153" s="154"/>
      <c r="M153" s="154"/>
      <c r="N153" s="154"/>
      <c r="O153" s="154"/>
      <c r="P153" s="154"/>
      <c r="Q153" s="154"/>
      <c r="R153" s="154"/>
      <c r="S153" s="154"/>
      <c r="T153" s="155"/>
      <c r="U153" s="155"/>
    </row>
    <row r="154" spans="1:21" s="12" customFormat="1" ht="14" customHeight="1">
      <c r="A154" s="244"/>
      <c r="B154" s="261" t="s">
        <v>306</v>
      </c>
      <c r="C154" s="106"/>
      <c r="D154" s="136"/>
      <c r="E154" s="153"/>
      <c r="F154" s="153"/>
      <c r="G154" s="153"/>
      <c r="H154" s="154"/>
      <c r="I154" s="154"/>
      <c r="J154" s="154"/>
      <c r="K154" s="154"/>
      <c r="L154" s="154"/>
      <c r="M154" s="154"/>
      <c r="N154" s="154"/>
      <c r="O154" s="154"/>
      <c r="P154" s="154"/>
      <c r="Q154" s="154"/>
      <c r="R154" s="154"/>
      <c r="S154" s="154"/>
      <c r="T154" s="155"/>
      <c r="U154" s="155"/>
    </row>
    <row r="155" spans="1:21" s="12" customFormat="1" ht="14" customHeight="1">
      <c r="A155" s="244"/>
      <c r="B155" s="152" t="s">
        <v>362</v>
      </c>
      <c r="C155" s="106"/>
      <c r="D155" s="136"/>
      <c r="E155" s="153"/>
      <c r="F155" s="153"/>
      <c r="G155" s="153"/>
      <c r="H155" s="154"/>
      <c r="I155" s="154"/>
      <c r="J155" s="154"/>
      <c r="K155" s="154"/>
      <c r="L155" s="154"/>
      <c r="M155" s="154"/>
      <c r="N155" s="154"/>
      <c r="O155" s="154"/>
      <c r="P155" s="154"/>
      <c r="Q155" s="154"/>
      <c r="R155" s="154"/>
      <c r="S155" s="154"/>
      <c r="T155" s="155"/>
      <c r="U155" s="155"/>
    </row>
    <row r="156" spans="1:21" s="12" customFormat="1" ht="14" customHeight="1">
      <c r="A156" s="244"/>
      <c r="B156" s="126" t="s">
        <v>100</v>
      </c>
      <c r="C156" s="137"/>
      <c r="D156" s="156"/>
      <c r="E156" s="153"/>
      <c r="F156" s="153"/>
      <c r="G156" s="153"/>
      <c r="H156" s="154"/>
      <c r="I156" s="154"/>
      <c r="J156" s="154"/>
      <c r="K156" s="154"/>
      <c r="L156" s="154"/>
      <c r="M156" s="154"/>
      <c r="N156" s="154"/>
      <c r="O156" s="154"/>
      <c r="P156" s="154"/>
      <c r="Q156" s="154"/>
      <c r="R156" s="154"/>
      <c r="S156" s="154"/>
      <c r="T156" s="155"/>
      <c r="U156" s="155"/>
    </row>
    <row r="157" spans="1:21" s="12" customFormat="1" ht="14" customHeight="1">
      <c r="A157" s="244"/>
      <c r="B157" s="126" t="s">
        <v>101</v>
      </c>
      <c r="C157" s="137"/>
      <c r="D157" s="156"/>
      <c r="E157" s="153"/>
      <c r="F157" s="153"/>
      <c r="G157" s="153"/>
      <c r="H157" s="154"/>
      <c r="I157" s="154"/>
      <c r="J157" s="154"/>
      <c r="K157" s="154"/>
      <c r="L157" s="154"/>
      <c r="M157" s="154"/>
      <c r="N157" s="154"/>
      <c r="O157" s="154"/>
      <c r="P157" s="154"/>
      <c r="Q157" s="154"/>
      <c r="R157" s="154"/>
      <c r="S157" s="154"/>
      <c r="T157" s="155"/>
      <c r="U157" s="155"/>
    </row>
    <row r="158" spans="1:21" s="12" customFormat="1" ht="14" customHeight="1">
      <c r="A158" s="244"/>
      <c r="B158" s="126" t="s">
        <v>102</v>
      </c>
      <c r="C158" s="137"/>
      <c r="D158" s="156"/>
      <c r="E158" s="153"/>
      <c r="F158" s="153"/>
      <c r="G158" s="153"/>
      <c r="H158" s="154"/>
      <c r="I158" s="154"/>
      <c r="J158" s="154"/>
      <c r="K158" s="154"/>
      <c r="L158" s="154"/>
      <c r="M158" s="154"/>
      <c r="N158" s="154"/>
      <c r="O158" s="154"/>
      <c r="P158" s="154"/>
      <c r="Q158" s="154"/>
      <c r="R158" s="154"/>
      <c r="S158" s="154"/>
      <c r="T158" s="155"/>
      <c r="U158" s="155"/>
    </row>
    <row r="159" spans="1:21" s="12" customFormat="1" ht="14" customHeight="1">
      <c r="A159" s="244"/>
      <c r="B159" s="126" t="s">
        <v>98</v>
      </c>
      <c r="C159" s="137"/>
      <c r="D159" s="156"/>
      <c r="E159" s="153"/>
      <c r="F159" s="153"/>
      <c r="G159" s="153"/>
      <c r="H159" s="154"/>
      <c r="I159" s="154"/>
      <c r="J159" s="154"/>
      <c r="K159" s="154"/>
      <c r="L159" s="154"/>
      <c r="M159" s="154"/>
      <c r="N159" s="154"/>
      <c r="O159" s="154"/>
      <c r="P159" s="154"/>
      <c r="Q159" s="154"/>
      <c r="R159" s="154"/>
      <c r="S159" s="154"/>
      <c r="T159" s="155"/>
      <c r="U159" s="155"/>
    </row>
    <row r="160" spans="1:21" s="12" customFormat="1" ht="14" customHeight="1">
      <c r="A160" s="244"/>
      <c r="B160" s="342" t="s">
        <v>484</v>
      </c>
      <c r="C160" s="137"/>
      <c r="D160" s="157"/>
      <c r="E160" s="155"/>
      <c r="F160" s="155"/>
      <c r="G160" s="155"/>
      <c r="H160" s="155"/>
      <c r="I160" s="155"/>
      <c r="J160" s="155"/>
      <c r="K160" s="155"/>
      <c r="L160" s="155"/>
      <c r="M160" s="155"/>
      <c r="N160" s="155"/>
      <c r="O160" s="155"/>
      <c r="P160" s="155"/>
      <c r="Q160" s="155"/>
      <c r="R160" s="155"/>
      <c r="S160" s="155"/>
      <c r="T160" s="155"/>
      <c r="U160" s="155"/>
    </row>
    <row r="161" spans="1:22" s="12" customFormat="1" ht="14" customHeight="1">
      <c r="A161" s="244"/>
      <c r="B161" s="342" t="s">
        <v>485</v>
      </c>
      <c r="C161" s="137"/>
      <c r="D161" s="157"/>
      <c r="E161" s="155"/>
      <c r="F161" s="155"/>
      <c r="G161" s="155"/>
      <c r="H161" s="155"/>
      <c r="I161" s="155"/>
      <c r="J161" s="155"/>
      <c r="K161" s="155"/>
      <c r="L161" s="155"/>
      <c r="M161" s="155"/>
      <c r="N161" s="155"/>
      <c r="O161" s="155"/>
      <c r="P161" s="155"/>
      <c r="Q161" s="155"/>
      <c r="R161" s="155"/>
      <c r="S161" s="155"/>
      <c r="T161" s="155"/>
      <c r="U161" s="155"/>
    </row>
    <row r="162" spans="1:22" s="12" customFormat="1" ht="14" customHeight="1">
      <c r="A162" s="244"/>
      <c r="B162" s="342" t="s">
        <v>486</v>
      </c>
      <c r="C162" s="157"/>
      <c r="D162" s="157"/>
      <c r="E162" s="155"/>
      <c r="F162" s="155"/>
      <c r="G162" s="155"/>
      <c r="H162" s="155"/>
      <c r="I162" s="155"/>
      <c r="J162" s="155"/>
      <c r="K162" s="155"/>
      <c r="L162" s="155"/>
      <c r="M162" s="155"/>
      <c r="N162" s="155"/>
      <c r="O162" s="155"/>
      <c r="P162" s="155"/>
      <c r="Q162" s="155"/>
      <c r="R162" s="155"/>
      <c r="S162" s="155"/>
      <c r="T162" s="155"/>
      <c r="U162" s="155"/>
    </row>
    <row r="163" spans="1:22" s="12" customFormat="1" ht="14" customHeight="1">
      <c r="A163" s="244"/>
      <c r="B163" s="126" t="s">
        <v>97</v>
      </c>
      <c r="C163" s="157"/>
      <c r="D163" s="157"/>
      <c r="E163" s="155"/>
      <c r="F163" s="155"/>
      <c r="G163" s="155"/>
      <c r="H163" s="155"/>
      <c r="I163" s="155"/>
      <c r="J163" s="155"/>
      <c r="K163" s="155"/>
      <c r="L163" s="155"/>
      <c r="M163" s="155"/>
      <c r="N163" s="155"/>
      <c r="O163" s="155"/>
      <c r="P163" s="155"/>
      <c r="Q163" s="155"/>
      <c r="R163" s="155"/>
      <c r="S163" s="155"/>
      <c r="T163" s="155"/>
      <c r="U163" s="155"/>
    </row>
    <row r="164" spans="1:22" s="12" customFormat="1" ht="14" customHeight="1">
      <c r="A164" s="244"/>
      <c r="B164" s="126" t="s">
        <v>104</v>
      </c>
      <c r="C164" s="137"/>
      <c r="D164" s="157"/>
      <c r="E164" s="155"/>
      <c r="F164" s="155"/>
      <c r="G164" s="155"/>
      <c r="H164" s="155"/>
      <c r="I164" s="155"/>
      <c r="J164" s="155"/>
      <c r="K164" s="155"/>
      <c r="L164" s="155"/>
      <c r="M164" s="155"/>
      <c r="N164" s="155"/>
      <c r="O164" s="155"/>
      <c r="P164" s="155"/>
      <c r="Q164" s="155"/>
      <c r="R164" s="155"/>
      <c r="S164" s="155"/>
      <c r="T164" s="155"/>
      <c r="U164" s="155"/>
    </row>
    <row r="165" spans="1:22" s="12" customFormat="1" ht="14" customHeight="1">
      <c r="A165" s="244"/>
      <c r="B165" s="126" t="s">
        <v>105</v>
      </c>
      <c r="C165" s="137"/>
      <c r="D165" s="157"/>
      <c r="E165" s="155"/>
      <c r="F165" s="155"/>
      <c r="G165" s="155"/>
      <c r="H165" s="155"/>
      <c r="I165" s="155"/>
      <c r="J165" s="155"/>
      <c r="K165" s="155"/>
      <c r="L165" s="155"/>
      <c r="M165" s="155"/>
      <c r="N165" s="155"/>
      <c r="O165" s="155"/>
      <c r="P165" s="155"/>
      <c r="Q165" s="155"/>
      <c r="R165" s="155"/>
      <c r="S165" s="155"/>
      <c r="T165" s="155"/>
      <c r="U165" s="155"/>
    </row>
    <row r="166" spans="1:22" s="12" customFormat="1" ht="14" customHeight="1">
      <c r="A166" s="244"/>
      <c r="B166" s="141" t="s">
        <v>506</v>
      </c>
      <c r="C166" s="137"/>
      <c r="D166" s="157"/>
      <c r="E166" s="155"/>
      <c r="F166" s="155"/>
      <c r="G166" s="155"/>
      <c r="H166" s="155"/>
      <c r="I166" s="155"/>
      <c r="J166" s="155"/>
      <c r="K166" s="155"/>
      <c r="L166" s="155"/>
      <c r="M166" s="155"/>
      <c r="N166" s="155"/>
      <c r="O166" s="155"/>
      <c r="P166" s="155"/>
      <c r="Q166" s="155"/>
      <c r="R166" s="155"/>
      <c r="S166" s="155"/>
      <c r="T166" s="155"/>
      <c r="U166" s="155"/>
    </row>
    <row r="167" spans="1:22" s="12" customFormat="1" ht="14" customHeight="1">
      <c r="A167" s="244"/>
      <c r="B167" s="141" t="s">
        <v>106</v>
      </c>
      <c r="C167" s="106"/>
      <c r="D167" s="157"/>
      <c r="E167" s="155"/>
      <c r="F167" s="155"/>
      <c r="G167" s="155"/>
      <c r="H167" s="155"/>
      <c r="I167" s="155"/>
      <c r="J167" s="155"/>
      <c r="K167" s="155"/>
      <c r="L167" s="155"/>
      <c r="M167" s="155"/>
      <c r="N167" s="155"/>
      <c r="O167" s="155"/>
      <c r="P167" s="155"/>
      <c r="Q167" s="155"/>
      <c r="R167" s="155"/>
      <c r="S167" s="155"/>
      <c r="T167" s="155"/>
      <c r="U167" s="155"/>
    </row>
    <row r="168" spans="1:22" s="12" customFormat="1" ht="14" customHeight="1">
      <c r="A168" s="244"/>
      <c r="B168" s="141" t="s">
        <v>103</v>
      </c>
      <c r="C168" s="106"/>
      <c r="D168" s="157"/>
      <c r="E168" s="155"/>
      <c r="F168" s="155"/>
      <c r="G168" s="155"/>
      <c r="H168" s="155"/>
      <c r="I168" s="155"/>
      <c r="J168" s="155"/>
      <c r="K168" s="155"/>
      <c r="L168" s="155"/>
      <c r="M168" s="155"/>
      <c r="N168" s="155"/>
      <c r="O168" s="155"/>
      <c r="P168" s="155"/>
      <c r="Q168" s="155"/>
      <c r="R168" s="155"/>
      <c r="S168" s="155"/>
      <c r="T168" s="155"/>
      <c r="U168" s="155"/>
    </row>
    <row r="169" spans="1:22" s="12" customFormat="1" ht="14" customHeight="1">
      <c r="A169" s="244"/>
      <c r="B169" s="141" t="s">
        <v>766</v>
      </c>
      <c r="C169" s="106"/>
      <c r="D169" s="157"/>
      <c r="E169" s="155"/>
      <c r="F169" s="155"/>
      <c r="G169" s="155"/>
      <c r="H169" s="155"/>
      <c r="I169" s="155"/>
      <c r="J169" s="155"/>
      <c r="K169" s="155"/>
      <c r="L169" s="155"/>
      <c r="M169" s="155"/>
      <c r="N169" s="155"/>
      <c r="O169" s="155"/>
      <c r="P169" s="155"/>
      <c r="Q169" s="155"/>
      <c r="R169" s="155"/>
      <c r="S169" s="155"/>
      <c r="T169" s="155"/>
      <c r="U169" s="155"/>
    </row>
    <row r="170" spans="1:22" s="12" customFormat="1" ht="14" customHeight="1">
      <c r="A170" s="244"/>
      <c r="B170" s="221" t="str">
        <f>"‧消費者於購買前，應詳閱各種銷售文件內容，本商品之預定附加費用率，"&amp;OP!$D$101&amp;"；如要詳細了解其他"</f>
        <v>‧消費者於購買前，應詳閱各種銷售文件內容，本商品之預定附加費用率，最高33.61%，最低20.62%；如要詳細了解其他</v>
      </c>
      <c r="C170" s="106"/>
      <c r="D170" s="157"/>
      <c r="E170" s="155"/>
      <c r="F170" s="155"/>
      <c r="G170" s="155"/>
      <c r="H170" s="155"/>
      <c r="I170" s="155"/>
      <c r="J170" s="155"/>
      <c r="K170" s="155"/>
      <c r="L170" s="155"/>
      <c r="M170" s="155"/>
      <c r="N170" s="155"/>
      <c r="O170" s="155"/>
      <c r="P170" s="155"/>
      <c r="Q170" s="155"/>
      <c r="R170" s="155"/>
      <c r="S170" s="155"/>
      <c r="T170" s="155"/>
      <c r="U170" s="155"/>
    </row>
    <row r="171" spans="1:22" s="12" customFormat="1" ht="14" customHeight="1">
      <c r="A171" s="244"/>
      <c r="B171" s="221" t="s">
        <v>814</v>
      </c>
      <c r="C171" s="106"/>
      <c r="D171" s="157"/>
      <c r="E171" s="155"/>
      <c r="F171" s="155"/>
      <c r="G171" s="155"/>
      <c r="H171" s="155"/>
      <c r="I171" s="155"/>
      <c r="J171" s="155"/>
      <c r="K171" s="155"/>
      <c r="L171" s="155"/>
      <c r="M171" s="155"/>
      <c r="N171" s="155"/>
      <c r="O171" s="155"/>
      <c r="P171" s="155"/>
      <c r="Q171" s="155"/>
      <c r="R171" s="155"/>
      <c r="S171" s="155"/>
      <c r="T171" s="155"/>
      <c r="U171" s="155"/>
    </row>
    <row r="172" spans="1:22" s="12" customFormat="1" ht="13.5" customHeight="1">
      <c r="A172" s="244"/>
      <c r="B172" s="221" t="s">
        <v>815</v>
      </c>
      <c r="C172" s="429"/>
      <c r="D172" s="429"/>
      <c r="E172" s="429"/>
      <c r="F172" s="429"/>
      <c r="G172" s="429"/>
      <c r="H172" s="429"/>
      <c r="I172" s="429"/>
      <c r="J172" s="429"/>
      <c r="K172" s="429"/>
      <c r="L172" s="429"/>
      <c r="M172" s="429"/>
      <c r="N172" s="429"/>
      <c r="O172" s="429"/>
      <c r="P172" s="429"/>
      <c r="Q172" s="429"/>
      <c r="R172" s="429"/>
      <c r="S172" s="429"/>
      <c r="T172" s="429"/>
      <c r="U172" s="429"/>
    </row>
    <row r="173" spans="1:22" s="25" customFormat="1" ht="15" customHeight="1">
      <c r="A173" s="36">
        <v>1</v>
      </c>
      <c r="B173" s="523" t="str">
        <f>OP!$D$107</f>
        <v>本建議書僅供參考，詳細商品內容及其變更，應以投保當時保單條款內容及本公司核保、保全作業規定為準</v>
      </c>
      <c r="C173" s="523"/>
      <c r="D173" s="523"/>
      <c r="E173" s="523"/>
      <c r="F173" s="523"/>
      <c r="G173" s="523"/>
      <c r="H173" s="523"/>
      <c r="I173" s="523"/>
      <c r="J173" s="523"/>
      <c r="K173" s="523"/>
      <c r="L173" s="523"/>
      <c r="M173" s="523"/>
      <c r="N173" s="523"/>
      <c r="O173" s="523"/>
      <c r="P173" s="523"/>
      <c r="Q173" s="523"/>
      <c r="R173" s="523"/>
      <c r="S173" s="523"/>
      <c r="T173" s="523"/>
      <c r="U173" s="523"/>
      <c r="V173" s="24"/>
    </row>
    <row r="174" spans="1:22" s="25" customFormat="1" ht="15" customHeight="1">
      <c r="B174" s="372"/>
      <c r="C174" s="373"/>
      <c r="D174" s="524" t="str">
        <f>OP!$D$106</f>
        <v xml:space="preserve"> ※本契約條款樣張須於訂立契約前提供要保人至少三日審閱期間</v>
      </c>
      <c r="E174" s="525"/>
      <c r="F174" s="525"/>
      <c r="G174" s="525"/>
      <c r="H174" s="525"/>
      <c r="I174" s="525"/>
      <c r="J174" s="525"/>
      <c r="K174" s="525"/>
      <c r="L174" s="525"/>
      <c r="M174" s="525"/>
      <c r="N174" s="525"/>
      <c r="O174" s="525"/>
      <c r="P174" s="262"/>
      <c r="R174" s="163"/>
      <c r="S174" s="163"/>
      <c r="T174" s="163"/>
      <c r="U174" s="164" t="str">
        <f ca="1">OP!$D$105</f>
        <v>V1.1-1150409 試算日：1150805</v>
      </c>
      <c r="V174" s="24"/>
    </row>
    <row r="175" spans="1:22"/>
    <row r="176" spans="1:22"/>
    <row r="177" spans="1:21" ht="25">
      <c r="A177" s="161">
        <v>1</v>
      </c>
      <c r="B177" s="546" t="str">
        <f>IF(ISERROR(VLOOKUP(A177,PI,2,0)),"",VLOOKUP(A177,PI,2,0))</f>
        <v>富邦人壽保險股份有限公司履行個人資料保護法告知說明書</v>
      </c>
      <c r="C177" s="546"/>
      <c r="D177" s="546"/>
      <c r="E177" s="546"/>
      <c r="F177" s="546"/>
      <c r="G177" s="546"/>
      <c r="H177" s="546"/>
      <c r="I177" s="546"/>
      <c r="J177" s="546"/>
      <c r="K177" s="546"/>
      <c r="L177" s="546"/>
      <c r="M177" s="546"/>
      <c r="N177" s="546"/>
      <c r="O177" s="546"/>
      <c r="P177" s="546"/>
      <c r="Q177" s="546"/>
      <c r="R177" s="546"/>
      <c r="S177" s="546"/>
      <c r="T177" s="546"/>
      <c r="U177" s="546"/>
    </row>
    <row r="178" spans="1:21" ht="15">
      <c r="A178" s="161">
        <v>2</v>
      </c>
      <c r="B178" s="162"/>
      <c r="C178" s="162" t="str">
        <f t="shared" ref="C178:C216" si="6">IF(ISERROR(VLOOKUP(A178,PI,2,0)),"",VLOOKUP(A178,PI,2,0))</f>
        <v xml:space="preserve"> </v>
      </c>
    </row>
    <row r="179" spans="1:21" ht="15">
      <c r="A179" s="161">
        <v>3</v>
      </c>
      <c r="B179" s="162"/>
      <c r="C179" s="162" t="str">
        <f t="shared" si="6"/>
        <v>富邦人壽保險股份有限公司（下稱本公司）依據個人資料保護法（以下稱個資法）</v>
      </c>
    </row>
    <row r="180" spans="1:21" ht="15">
      <c r="A180" s="161">
        <v>4</v>
      </c>
      <c r="B180" s="162"/>
      <c r="C180" s="162" t="str">
        <f t="shared" si="6"/>
        <v>規定，向 台端告知下列事項，請 台端詳閱：</v>
      </c>
    </row>
    <row r="181" spans="1:21" ht="15">
      <c r="A181" s="161">
        <v>5</v>
      </c>
      <c r="B181" s="162"/>
      <c r="C181" s="162" t="str">
        <f t="shared" si="6"/>
        <v>一、蒐集之目的：</v>
      </c>
    </row>
    <row r="182" spans="1:21" ht="15">
      <c r="A182" s="161">
        <v>6</v>
      </c>
      <c r="B182" s="162"/>
      <c r="C182" s="162" t="str">
        <f t="shared" si="6"/>
        <v>（一）人身保險（００一）</v>
      </c>
    </row>
    <row r="183" spans="1:21" ht="15">
      <c r="A183" s="161">
        <v>7</v>
      </c>
      <c r="B183" s="162"/>
      <c r="C183" s="162" t="str">
        <f t="shared" si="6"/>
        <v>（二）其他經營合於營業登記項目或組織章程所定之業務（一八一）</v>
      </c>
    </row>
    <row r="184" spans="1:21" ht="15">
      <c r="A184" s="161">
        <v>8</v>
      </c>
      <c r="B184" s="162"/>
      <c r="C184" s="162" t="str">
        <f t="shared" si="6"/>
        <v>二、蒐集之個人資料類別：</v>
      </c>
    </row>
    <row r="185" spans="1:21" ht="15">
      <c r="A185" s="161">
        <v>9</v>
      </c>
      <c r="B185" s="162"/>
      <c r="C185" s="162" t="str">
        <f t="shared" si="6"/>
        <v>（一）姓名。</v>
      </c>
    </row>
    <row r="186" spans="1:21" ht="15">
      <c r="A186" s="161">
        <v>10</v>
      </c>
      <c r="B186" s="162"/>
      <c r="C186" s="162" t="str">
        <f t="shared" si="6"/>
        <v>（二）身分證統一編號。</v>
      </c>
    </row>
    <row r="187" spans="1:21" ht="15" hidden="1">
      <c r="A187" s="161">
        <v>11</v>
      </c>
      <c r="B187" s="162"/>
      <c r="C187" s="162" t="str">
        <f t="shared" si="6"/>
        <v>（三）地址。</v>
      </c>
    </row>
    <row r="188" spans="1:21" ht="15">
      <c r="A188" s="161">
        <v>12</v>
      </c>
      <c r="B188" s="162"/>
      <c r="C188" s="162" t="str">
        <f t="shared" si="6"/>
        <v>（四）病歷、醫療、健康檢查 。</v>
      </c>
    </row>
    <row r="189" spans="1:21" ht="15">
      <c r="A189" s="161">
        <v>13</v>
      </c>
      <c r="B189" s="162"/>
      <c r="C189" s="162" t="str">
        <f t="shared" si="6"/>
        <v>（五）要保書、要保文件等其他基於保險契約所提供之個人資料。</v>
      </c>
    </row>
    <row r="190" spans="1:21" ht="15">
      <c r="A190" s="161">
        <v>14</v>
      </c>
      <c r="B190" s="162"/>
      <c r="C190" s="162" t="str">
        <f t="shared" si="6"/>
        <v>三、個人資料利用之期間、地區、對象、方式：</v>
      </c>
    </row>
    <row r="191" spans="1:21" ht="15">
      <c r="A191" s="161">
        <v>15</v>
      </c>
      <c r="B191" s="162"/>
      <c r="C191" s="162" t="str">
        <f t="shared" si="6"/>
        <v>（一）期間：因執行業務所必須及依法令規定應為保存之期間。</v>
      </c>
    </row>
    <row r="192" spans="1:21" ht="15">
      <c r="A192" s="161">
        <v>16</v>
      </c>
      <c r="B192" s="162"/>
      <c r="C192" s="162" t="str">
        <f t="shared" si="6"/>
        <v>（二）對象：本公司、中華民國人壽保險商業同業公會、財團法人保險事業發展</v>
      </c>
    </row>
    <row r="193" spans="1:3" ht="15">
      <c r="A193" s="161">
        <v>17</v>
      </c>
      <c r="B193" s="162"/>
      <c r="C193" s="162" t="str">
        <f t="shared" si="6"/>
        <v xml:space="preserve">      中心、財團法人金融消費評議中心、業務委外機構、臺灣網路認證(股)公司、</v>
      </c>
    </row>
    <row r="194" spans="1:3" ht="15">
      <c r="A194" s="161">
        <v>18</v>
      </c>
      <c r="B194" s="162"/>
      <c r="C194" s="162" t="str">
        <f t="shared" si="6"/>
        <v xml:space="preserve">      與本公司有再保業務往來之公司、依法有調查權機關或金融監理機關。</v>
      </c>
    </row>
    <row r="195" spans="1:3" ht="15">
      <c r="A195" s="161">
        <v>19</v>
      </c>
      <c r="B195" s="162"/>
      <c r="C195" s="162" t="str">
        <f t="shared" si="6"/>
        <v>（三）地區：上述對象所在之地區。</v>
      </c>
    </row>
    <row r="196" spans="1:3" ht="15">
      <c r="A196" s="161">
        <v>20</v>
      </c>
      <c r="B196" s="162"/>
      <c r="C196" s="162" t="str">
        <f t="shared" si="6"/>
        <v>（四）方式：合於法令規定之利用方式。</v>
      </c>
    </row>
    <row r="197" spans="1:3" ht="15">
      <c r="A197" s="161">
        <v>21</v>
      </c>
      <c r="B197" s="162"/>
      <c r="C197" s="162" t="str">
        <f t="shared" si="6"/>
        <v>四、依據個資法第三條規定，台端就本公司保有 台端之個人資料得行使之權利及</v>
      </c>
    </row>
    <row r="198" spans="1:3" ht="15">
      <c r="A198" s="161">
        <v>22</v>
      </c>
      <c r="B198" s="162"/>
      <c r="C198" s="162" t="str">
        <f t="shared" si="6"/>
        <v xml:space="preserve">    方式：</v>
      </c>
    </row>
    <row r="199" spans="1:3" ht="15">
      <c r="A199" s="161">
        <v>23</v>
      </c>
      <c r="B199" s="162"/>
      <c r="C199" s="162" t="str">
        <f t="shared" si="6"/>
        <v>（一）得向本公司行使之權利：</v>
      </c>
    </row>
    <row r="200" spans="1:3" ht="15">
      <c r="A200" s="161">
        <v>24</v>
      </c>
      <c r="B200" s="162"/>
      <c r="C200" s="162" t="str">
        <f t="shared" si="6"/>
        <v xml:space="preserve">      1.向本公司查詢、請求閱覽或請求製給複製本。</v>
      </c>
    </row>
    <row r="201" spans="1:3" ht="15">
      <c r="A201" s="161">
        <v>25</v>
      </c>
      <c r="B201" s="162"/>
      <c r="C201" s="162" t="str">
        <f t="shared" si="6"/>
        <v xml:space="preserve">      2.向本公司請求補充或更正。</v>
      </c>
    </row>
    <row r="202" spans="1:3" ht="15">
      <c r="A202" s="161">
        <v>26</v>
      </c>
      <c r="B202" s="162"/>
      <c r="C202" s="162" t="str">
        <f t="shared" si="6"/>
        <v xml:space="preserve">      3.向本公司請求停止蒐集、處理或利用及請求刪除。</v>
      </c>
    </row>
    <row r="203" spans="1:3" ht="15">
      <c r="A203" s="161">
        <v>27</v>
      </c>
      <c r="B203" s="162"/>
      <c r="C203" s="162" t="str">
        <f t="shared" si="6"/>
        <v>（二）行使權利之方式：</v>
      </c>
    </row>
    <row r="204" spans="1:3" ht="15">
      <c r="A204" s="161">
        <v>28</v>
      </c>
      <c r="B204" s="162"/>
      <c r="C204" s="162" t="str">
        <f t="shared" si="6"/>
        <v xml:space="preserve">      您可以透過書面（包含電子郵件、傳真、電子文件）方式行使權利。</v>
      </c>
    </row>
    <row r="205" spans="1:3" ht="15">
      <c r="A205" s="161">
        <v>29</v>
      </c>
      <c r="B205" s="162"/>
      <c r="C205" s="162" t="str">
        <f t="shared" si="6"/>
        <v>五、台端不提供個人資料所致權益之影響</v>
      </c>
    </row>
    <row r="206" spans="1:3" ht="15">
      <c r="A206" s="161">
        <v>30</v>
      </c>
      <c r="B206" s="162"/>
      <c r="C206" s="162" t="str">
        <f t="shared" si="6"/>
        <v xml:space="preserve">    台端若未能提供相關個人資料時，本公司將可能延後或無法進行必要之審核</v>
      </c>
    </row>
    <row r="207" spans="1:3" ht="15">
      <c r="A207" s="161">
        <v>31</v>
      </c>
      <c r="B207" s="162"/>
      <c r="C207" s="162" t="str">
        <f t="shared" si="6"/>
        <v xml:space="preserve">    及處理作業，因此可能婉謝承保、遲延或無法承保。</v>
      </c>
    </row>
    <row r="208" spans="1:3" ht="15">
      <c r="A208" s="161">
        <v>32</v>
      </c>
      <c r="B208" s="162"/>
      <c r="C208" s="162" t="str">
        <f t="shared" si="6"/>
        <v/>
      </c>
    </row>
    <row r="209" spans="1:21" ht="15">
      <c r="A209" s="161">
        <v>33</v>
      </c>
      <c r="B209" s="162"/>
      <c r="C209" s="162" t="str">
        <f t="shared" si="6"/>
        <v/>
      </c>
    </row>
    <row r="210" spans="1:21" ht="15">
      <c r="A210" s="161">
        <v>34</v>
      </c>
      <c r="B210" s="162"/>
      <c r="C210" s="162" t="str">
        <f t="shared" si="6"/>
        <v/>
      </c>
    </row>
    <row r="211" spans="1:21" ht="15">
      <c r="A211" s="161">
        <v>35</v>
      </c>
      <c r="B211" s="162"/>
      <c r="C211" s="162" t="str">
        <f t="shared" si="6"/>
        <v/>
      </c>
    </row>
    <row r="212" spans="1:21" ht="15">
      <c r="A212" s="161">
        <v>36</v>
      </c>
      <c r="B212" s="162"/>
      <c r="C212" s="162" t="str">
        <f t="shared" si="6"/>
        <v/>
      </c>
    </row>
    <row r="213" spans="1:21" ht="15">
      <c r="A213" s="161">
        <v>37</v>
      </c>
      <c r="B213" s="162"/>
      <c r="C213" s="162" t="str">
        <f t="shared" si="6"/>
        <v/>
      </c>
    </row>
    <row r="214" spans="1:21" ht="15">
      <c r="A214" s="161">
        <v>38</v>
      </c>
      <c r="B214" s="162"/>
      <c r="C214" s="162" t="str">
        <f t="shared" si="6"/>
        <v/>
      </c>
    </row>
    <row r="215" spans="1:21" ht="15">
      <c r="A215" s="161">
        <v>39</v>
      </c>
      <c r="B215" s="162"/>
      <c r="C215" s="162" t="str">
        <f t="shared" si="6"/>
        <v/>
      </c>
    </row>
    <row r="216" spans="1:21" ht="15">
      <c r="A216" s="161">
        <v>40</v>
      </c>
      <c r="B216" s="162"/>
      <c r="C216" s="162" t="str">
        <f t="shared" si="6"/>
        <v/>
      </c>
    </row>
    <row r="217" spans="1:21"/>
    <row r="218" spans="1:21"/>
    <row r="219" spans="1:21"/>
    <row r="220" spans="1:21"/>
    <row r="221" spans="1:21">
      <c r="L221" s="233"/>
      <c r="M221" s="233"/>
      <c r="N221" s="233"/>
      <c r="O221" s="233"/>
      <c r="P221" s="233"/>
      <c r="Q221" s="233"/>
      <c r="R221" s="233"/>
      <c r="S221" s="233"/>
      <c r="T221" s="233"/>
      <c r="U221" s="233"/>
    </row>
    <row r="222" spans="1:21">
      <c r="B222" s="234"/>
      <c r="C222" s="235"/>
      <c r="D222" s="235"/>
      <c r="E222" s="235"/>
      <c r="F222" s="235"/>
      <c r="G222" s="235"/>
      <c r="H222" s="235"/>
      <c r="I222" s="235"/>
      <c r="J222" s="235"/>
      <c r="K222" s="236"/>
      <c r="L222" s="235"/>
      <c r="M222" s="235"/>
      <c r="N222" s="235"/>
      <c r="O222" s="235"/>
      <c r="P222" s="235"/>
      <c r="Q222" s="235"/>
      <c r="R222" s="235"/>
      <c r="S222" s="235"/>
      <c r="T222" s="235"/>
      <c r="U222" s="236"/>
    </row>
    <row r="223" spans="1:21">
      <c r="B223" s="237" t="s">
        <v>770</v>
      </c>
      <c r="C223" s="8"/>
      <c r="D223" s="8"/>
      <c r="E223" s="8"/>
      <c r="F223" s="8"/>
      <c r="G223" s="8"/>
      <c r="H223" s="8"/>
      <c r="I223" s="8"/>
      <c r="J223" s="8"/>
      <c r="K223" s="238"/>
      <c r="L223" s="8" t="s">
        <v>771</v>
      </c>
      <c r="M223" s="8"/>
      <c r="N223" s="8"/>
      <c r="O223" s="8"/>
      <c r="P223" s="8"/>
      <c r="Q223" s="8"/>
      <c r="R223" s="8"/>
      <c r="S223" s="8"/>
      <c r="T223" s="8"/>
      <c r="U223" s="238"/>
    </row>
    <row r="224" spans="1:21">
      <c r="B224" s="237"/>
      <c r="C224" s="8"/>
      <c r="D224" s="8"/>
      <c r="E224" s="8"/>
      <c r="F224" s="8"/>
      <c r="G224" s="8"/>
      <c r="H224" s="8"/>
      <c r="I224" s="8"/>
      <c r="J224" s="8"/>
      <c r="K224" s="238"/>
      <c r="L224" s="8"/>
      <c r="M224" s="8"/>
      <c r="N224" s="8"/>
      <c r="O224" s="8"/>
      <c r="P224" s="8"/>
      <c r="Q224" s="8"/>
      <c r="R224" s="8"/>
      <c r="S224" s="8"/>
      <c r="T224" s="8"/>
      <c r="U224" s="238"/>
    </row>
    <row r="225" spans="2:21">
      <c r="B225" s="237"/>
      <c r="C225" s="8"/>
      <c r="D225" s="8"/>
      <c r="E225" s="8"/>
      <c r="F225" s="8"/>
      <c r="G225" s="8"/>
      <c r="H225" s="8"/>
      <c r="I225" s="8"/>
      <c r="J225" s="8"/>
      <c r="K225" s="238"/>
      <c r="L225" s="8"/>
      <c r="M225" s="8"/>
      <c r="N225" s="8"/>
      <c r="O225" s="8"/>
      <c r="P225" s="8"/>
      <c r="Q225" s="8"/>
      <c r="R225" s="8"/>
      <c r="S225" s="8"/>
      <c r="T225" s="8"/>
      <c r="U225" s="238"/>
    </row>
    <row r="226" spans="2:21">
      <c r="B226" s="237"/>
      <c r="C226" s="220" t="s">
        <v>296</v>
      </c>
      <c r="D226" s="8"/>
      <c r="E226" s="8"/>
      <c r="F226" s="8"/>
      <c r="G226" s="8"/>
      <c r="H226" s="8"/>
      <c r="I226" s="8"/>
      <c r="J226" s="8"/>
      <c r="K226" s="238"/>
      <c r="L226" s="8"/>
      <c r="M226" s="220" t="s">
        <v>297</v>
      </c>
      <c r="N226" s="8"/>
      <c r="O226" s="8"/>
      <c r="P226" s="8"/>
      <c r="Q226" s="8"/>
      <c r="R226" s="8"/>
      <c r="S226" s="8"/>
      <c r="T226" s="8"/>
      <c r="U226" s="238"/>
    </row>
    <row r="227" spans="2:21">
      <c r="B227" s="239"/>
      <c r="C227" s="240"/>
      <c r="D227" s="240"/>
      <c r="E227" s="240"/>
      <c r="F227" s="240"/>
      <c r="G227" s="240"/>
      <c r="H227" s="240"/>
      <c r="I227" s="240"/>
      <c r="J227" s="240"/>
      <c r="K227" s="241"/>
      <c r="L227" s="240"/>
      <c r="M227" s="240"/>
      <c r="N227" s="240"/>
      <c r="O227" s="240"/>
      <c r="P227" s="240"/>
      <c r="Q227" s="240"/>
      <c r="R227" s="240"/>
      <c r="S227" s="240"/>
      <c r="T227" s="240"/>
      <c r="U227" s="241"/>
    </row>
    <row r="228" spans="2:21">
      <c r="U228" s="164" t="str">
        <f ca="1">"富邦人壽提供，"&amp;OP!$C$54&amp;" 試算日："&amp;TEXT(OP!$C$3,"EEMMDD")</f>
        <v>富邦人壽提供，V1.1-1150409 試算日：20260805</v>
      </c>
    </row>
    <row r="229" spans="2:21" ht="15.75" customHeight="1">
      <c r="U229" s="15"/>
    </row>
    <row r="230" spans="2:21"/>
    <row r="231" spans="2:21"/>
    <row r="232" spans="2:21"/>
    <row r="233" spans="2:21"/>
    <row r="234" spans="2:21"/>
    <row r="235" spans="2:21"/>
    <row r="236" spans="2:21"/>
    <row r="237" spans="2:21"/>
    <row r="238" spans="2:21"/>
    <row r="239" spans="2:21"/>
    <row r="240" spans="2:21"/>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sheetData>
  <sheetProtection algorithmName="SHA-512" hashValue="B7bBUa6JKZyvsuOap8gcAzphfzYGruDCMT9pEg7kdmds3xMQsfruRF96xGY0uYv5GBX7yGOQWfrMsP6ByhOy5A==" saltValue="YqhDIdzQ6KsqJgyDyInfEw==" spinCount="100000" sheet="1" objects="1" scenarios="1" selectLockedCells="1" selectUnlockedCells="1"/>
  <mergeCells count="421">
    <mergeCell ref="B177:U177"/>
    <mergeCell ref="B114:U114"/>
    <mergeCell ref="B44:U44"/>
    <mergeCell ref="B17:U17"/>
    <mergeCell ref="D45:O45"/>
    <mergeCell ref="B11:U11"/>
    <mergeCell ref="B13:G13"/>
    <mergeCell ref="H13:L13"/>
    <mergeCell ref="M13:U13"/>
    <mergeCell ref="B14:G14"/>
    <mergeCell ref="H14:L14"/>
    <mergeCell ref="M14:U14"/>
    <mergeCell ref="D69:E69"/>
    <mergeCell ref="D70:E70"/>
    <mergeCell ref="D71:E71"/>
    <mergeCell ref="D72:E72"/>
    <mergeCell ref="F69:H69"/>
    <mergeCell ref="F70:H70"/>
    <mergeCell ref="F71:H71"/>
    <mergeCell ref="F72:H72"/>
    <mergeCell ref="I69:K69"/>
    <mergeCell ref="D79:E79"/>
    <mergeCell ref="B111:U111"/>
    <mergeCell ref="D112:O112"/>
    <mergeCell ref="B2:U2"/>
    <mergeCell ref="B4:C4"/>
    <mergeCell ref="O5:Q5"/>
    <mergeCell ref="M5:N5"/>
    <mergeCell ref="N4:O4"/>
    <mergeCell ref="Q4:U4"/>
    <mergeCell ref="R5:U5"/>
    <mergeCell ref="B10:R10"/>
    <mergeCell ref="R6:U6"/>
    <mergeCell ref="B8:U8"/>
    <mergeCell ref="L4:M4"/>
    <mergeCell ref="O6:Q6"/>
    <mergeCell ref="M6:N6"/>
    <mergeCell ref="B9:U9"/>
    <mergeCell ref="I4:K4"/>
    <mergeCell ref="B5:L5"/>
    <mergeCell ref="B6:L6"/>
    <mergeCell ref="D4:H4"/>
    <mergeCell ref="B173:U173"/>
    <mergeCell ref="D174:O174"/>
    <mergeCell ref="D96:E96"/>
    <mergeCell ref="D97:E97"/>
    <mergeCell ref="D98:E98"/>
    <mergeCell ref="D99:E99"/>
    <mergeCell ref="N98:O98"/>
    <mergeCell ref="N99:O99"/>
    <mergeCell ref="P96:R96"/>
    <mergeCell ref="P97:R97"/>
    <mergeCell ref="P98:R98"/>
    <mergeCell ref="S98:U98"/>
    <mergeCell ref="S99:U99"/>
    <mergeCell ref="D100:E100"/>
    <mergeCell ref="F100:H100"/>
    <mergeCell ref="I100:K100"/>
    <mergeCell ref="D101:E101"/>
    <mergeCell ref="F101:H101"/>
    <mergeCell ref="I101:K101"/>
    <mergeCell ref="D102:E102"/>
    <mergeCell ref="F102:H102"/>
    <mergeCell ref="I102:K102"/>
    <mergeCell ref="D103:E103"/>
    <mergeCell ref="F103:H103"/>
    <mergeCell ref="D30:D31"/>
    <mergeCell ref="E30:G31"/>
    <mergeCell ref="D32:G33"/>
    <mergeCell ref="P99:R99"/>
    <mergeCell ref="S96:U96"/>
    <mergeCell ref="S97:U97"/>
    <mergeCell ref="I70:K70"/>
    <mergeCell ref="I71:K71"/>
    <mergeCell ref="I72:K72"/>
    <mergeCell ref="N69:O69"/>
    <mergeCell ref="N70:O70"/>
    <mergeCell ref="D73:E73"/>
    <mergeCell ref="D74:E74"/>
    <mergeCell ref="D75:E75"/>
    <mergeCell ref="D76:E76"/>
    <mergeCell ref="D77:E77"/>
    <mergeCell ref="D78:E78"/>
    <mergeCell ref="D89:E89"/>
    <mergeCell ref="D90:E90"/>
    <mergeCell ref="D91:E91"/>
    <mergeCell ref="D92:E92"/>
    <mergeCell ref="D93:E93"/>
    <mergeCell ref="D94:E94"/>
    <mergeCell ref="D95:E95"/>
    <mergeCell ref="B34:C35"/>
    <mergeCell ref="D34:U35"/>
    <mergeCell ref="H20:U20"/>
    <mergeCell ref="H21:U22"/>
    <mergeCell ref="H23:U24"/>
    <mergeCell ref="H25:U29"/>
    <mergeCell ref="H30:U31"/>
    <mergeCell ref="H32:U33"/>
    <mergeCell ref="B20:C20"/>
    <mergeCell ref="B21:C22"/>
    <mergeCell ref="B23:C24"/>
    <mergeCell ref="B25:C29"/>
    <mergeCell ref="B30:C31"/>
    <mergeCell ref="B32:C33"/>
    <mergeCell ref="E20:G20"/>
    <mergeCell ref="E21:G21"/>
    <mergeCell ref="E22:G22"/>
    <mergeCell ref="E23:G23"/>
    <mergeCell ref="E24:G24"/>
    <mergeCell ref="E25:G25"/>
    <mergeCell ref="E26:G26"/>
    <mergeCell ref="E27:G27"/>
    <mergeCell ref="E28:G28"/>
    <mergeCell ref="E29:G29"/>
    <mergeCell ref="B36:C37"/>
    <mergeCell ref="D36:G37"/>
    <mergeCell ref="H36:U37"/>
    <mergeCell ref="B38:C39"/>
    <mergeCell ref="D38:G39"/>
    <mergeCell ref="H38:U39"/>
    <mergeCell ref="D48:E48"/>
    <mergeCell ref="D49:E49"/>
    <mergeCell ref="D50:E50"/>
    <mergeCell ref="F48:H48"/>
    <mergeCell ref="F49:H49"/>
    <mergeCell ref="F50:H50"/>
    <mergeCell ref="I48:K48"/>
    <mergeCell ref="I49:K49"/>
    <mergeCell ref="I50:K50"/>
    <mergeCell ref="N48:O48"/>
    <mergeCell ref="P48:R48"/>
    <mergeCell ref="S48:U48"/>
    <mergeCell ref="N49:O49"/>
    <mergeCell ref="N50:O50"/>
    <mergeCell ref="P49:R49"/>
    <mergeCell ref="P50:R50"/>
    <mergeCell ref="S49:U49"/>
    <mergeCell ref="S50:U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80:E80"/>
    <mergeCell ref="D81:E81"/>
    <mergeCell ref="D82:E82"/>
    <mergeCell ref="D83:E83"/>
    <mergeCell ref="D84:E84"/>
    <mergeCell ref="D85:E85"/>
    <mergeCell ref="D86:E86"/>
    <mergeCell ref="D87:E87"/>
    <mergeCell ref="D88:E88"/>
    <mergeCell ref="F51:H51"/>
    <mergeCell ref="F52:H52"/>
    <mergeCell ref="F53:H53"/>
    <mergeCell ref="F54:H54"/>
    <mergeCell ref="F55:H55"/>
    <mergeCell ref="F56:H56"/>
    <mergeCell ref="F57:H57"/>
    <mergeCell ref="F58:H58"/>
    <mergeCell ref="F59:H59"/>
    <mergeCell ref="F60:H60"/>
    <mergeCell ref="F61:H61"/>
    <mergeCell ref="F62:H62"/>
    <mergeCell ref="F63:H63"/>
    <mergeCell ref="F64:H64"/>
    <mergeCell ref="F65:H65"/>
    <mergeCell ref="F66:H66"/>
    <mergeCell ref="F67:H67"/>
    <mergeCell ref="F68:H68"/>
    <mergeCell ref="F73:H73"/>
    <mergeCell ref="F74:H74"/>
    <mergeCell ref="F75:H75"/>
    <mergeCell ref="F76:H76"/>
    <mergeCell ref="F77:H77"/>
    <mergeCell ref="F78:H78"/>
    <mergeCell ref="F79:H79"/>
    <mergeCell ref="F80:H80"/>
    <mergeCell ref="F81:H81"/>
    <mergeCell ref="F82:H82"/>
    <mergeCell ref="F83:H83"/>
    <mergeCell ref="F84:H84"/>
    <mergeCell ref="F85:H85"/>
    <mergeCell ref="F86:H86"/>
    <mergeCell ref="F87:H87"/>
    <mergeCell ref="F88:H88"/>
    <mergeCell ref="F89:H89"/>
    <mergeCell ref="F90:H90"/>
    <mergeCell ref="F91:H91"/>
    <mergeCell ref="F92:H92"/>
    <mergeCell ref="F93:H93"/>
    <mergeCell ref="F94:H94"/>
    <mergeCell ref="F95:H95"/>
    <mergeCell ref="F96:H96"/>
    <mergeCell ref="F97:H97"/>
    <mergeCell ref="F98:H98"/>
    <mergeCell ref="F99:H99"/>
    <mergeCell ref="I51:K51"/>
    <mergeCell ref="I52:K52"/>
    <mergeCell ref="I53:K53"/>
    <mergeCell ref="I54:K54"/>
    <mergeCell ref="I55:K55"/>
    <mergeCell ref="I56:K56"/>
    <mergeCell ref="I57:K57"/>
    <mergeCell ref="I58:K58"/>
    <mergeCell ref="I59:K59"/>
    <mergeCell ref="I60:K60"/>
    <mergeCell ref="I61:K61"/>
    <mergeCell ref="I62:K62"/>
    <mergeCell ref="I63:K63"/>
    <mergeCell ref="I64:K64"/>
    <mergeCell ref="I65:K65"/>
    <mergeCell ref="I66:K66"/>
    <mergeCell ref="I67:K67"/>
    <mergeCell ref="I68:K68"/>
    <mergeCell ref="I73:K73"/>
    <mergeCell ref="I74:K74"/>
    <mergeCell ref="I75:K75"/>
    <mergeCell ref="I76:K76"/>
    <mergeCell ref="I77:K77"/>
    <mergeCell ref="I78:K78"/>
    <mergeCell ref="I79:K79"/>
    <mergeCell ref="I80:K80"/>
    <mergeCell ref="I81:K81"/>
    <mergeCell ref="I82:K82"/>
    <mergeCell ref="I83:K83"/>
    <mergeCell ref="I84:K84"/>
    <mergeCell ref="I85:K85"/>
    <mergeCell ref="I86:K86"/>
    <mergeCell ref="I87:K87"/>
    <mergeCell ref="I88:K88"/>
    <mergeCell ref="I89:K89"/>
    <mergeCell ref="I90:K90"/>
    <mergeCell ref="I91:K91"/>
    <mergeCell ref="I92:K92"/>
    <mergeCell ref="I93:K93"/>
    <mergeCell ref="I94:K94"/>
    <mergeCell ref="I95:K95"/>
    <mergeCell ref="I96:K96"/>
    <mergeCell ref="I97:K97"/>
    <mergeCell ref="I98:K98"/>
    <mergeCell ref="I99:K99"/>
    <mergeCell ref="N51:O51"/>
    <mergeCell ref="N52:O52"/>
    <mergeCell ref="N53:O53"/>
    <mergeCell ref="N54:O54"/>
    <mergeCell ref="N55:O55"/>
    <mergeCell ref="N56:O56"/>
    <mergeCell ref="N57:O57"/>
    <mergeCell ref="N58:O58"/>
    <mergeCell ref="N59:O59"/>
    <mergeCell ref="N60:O60"/>
    <mergeCell ref="N61:O61"/>
    <mergeCell ref="N62:O62"/>
    <mergeCell ref="N63:O63"/>
    <mergeCell ref="N64:O64"/>
    <mergeCell ref="N65:O65"/>
    <mergeCell ref="N66:O66"/>
    <mergeCell ref="N67:O67"/>
    <mergeCell ref="N68:O68"/>
    <mergeCell ref="N71:O71"/>
    <mergeCell ref="N72:O72"/>
    <mergeCell ref="N73:O73"/>
    <mergeCell ref="N74:O74"/>
    <mergeCell ref="N75:O75"/>
    <mergeCell ref="N76:O76"/>
    <mergeCell ref="N77:O77"/>
    <mergeCell ref="N78:O78"/>
    <mergeCell ref="N79:O79"/>
    <mergeCell ref="N80:O80"/>
    <mergeCell ref="N81:O81"/>
    <mergeCell ref="N82:O82"/>
    <mergeCell ref="N83:O83"/>
    <mergeCell ref="N84:O84"/>
    <mergeCell ref="N85:O85"/>
    <mergeCell ref="N86:O86"/>
    <mergeCell ref="N87:O87"/>
    <mergeCell ref="N88:O88"/>
    <mergeCell ref="N89:O89"/>
    <mergeCell ref="N90:O90"/>
    <mergeCell ref="N91:O91"/>
    <mergeCell ref="N92:O92"/>
    <mergeCell ref="N93:O93"/>
    <mergeCell ref="N94:O94"/>
    <mergeCell ref="N95:O95"/>
    <mergeCell ref="N96:O96"/>
    <mergeCell ref="N97:O97"/>
    <mergeCell ref="P51:R51"/>
    <mergeCell ref="P52:R52"/>
    <mergeCell ref="P53:R53"/>
    <mergeCell ref="P54:R54"/>
    <mergeCell ref="P55:R55"/>
    <mergeCell ref="P56:R56"/>
    <mergeCell ref="P57:R57"/>
    <mergeCell ref="P58:R58"/>
    <mergeCell ref="P59:R59"/>
    <mergeCell ref="P60:R60"/>
    <mergeCell ref="P61:R61"/>
    <mergeCell ref="P62:R62"/>
    <mergeCell ref="P63:R63"/>
    <mergeCell ref="P64:R64"/>
    <mergeCell ref="P65:R65"/>
    <mergeCell ref="P66:R66"/>
    <mergeCell ref="P67:R67"/>
    <mergeCell ref="P68:R68"/>
    <mergeCell ref="P69:R69"/>
    <mergeCell ref="P70:R70"/>
    <mergeCell ref="P71:R71"/>
    <mergeCell ref="P72:R72"/>
    <mergeCell ref="P73:R73"/>
    <mergeCell ref="P74:R74"/>
    <mergeCell ref="P75:R75"/>
    <mergeCell ref="P76:R76"/>
    <mergeCell ref="P77:R77"/>
    <mergeCell ref="P78:R78"/>
    <mergeCell ref="P79:R79"/>
    <mergeCell ref="P80:R80"/>
    <mergeCell ref="P81:R81"/>
    <mergeCell ref="P82:R82"/>
    <mergeCell ref="P83:R83"/>
    <mergeCell ref="P84:R84"/>
    <mergeCell ref="P85:R85"/>
    <mergeCell ref="P86:R86"/>
    <mergeCell ref="P87:R87"/>
    <mergeCell ref="P88:R88"/>
    <mergeCell ref="P89:R89"/>
    <mergeCell ref="P90:R90"/>
    <mergeCell ref="P91:R91"/>
    <mergeCell ref="P92:R92"/>
    <mergeCell ref="P93:R93"/>
    <mergeCell ref="P94:R94"/>
    <mergeCell ref="P95:R95"/>
    <mergeCell ref="S51:U51"/>
    <mergeCell ref="S52:U52"/>
    <mergeCell ref="S53:U53"/>
    <mergeCell ref="S54:U54"/>
    <mergeCell ref="S55:U55"/>
    <mergeCell ref="S56:U56"/>
    <mergeCell ref="S57:U57"/>
    <mergeCell ref="S58:U58"/>
    <mergeCell ref="S59:U59"/>
    <mergeCell ref="S60:U60"/>
    <mergeCell ref="S61:U61"/>
    <mergeCell ref="S62:U62"/>
    <mergeCell ref="S63:U63"/>
    <mergeCell ref="S64:U64"/>
    <mergeCell ref="S65:U65"/>
    <mergeCell ref="S66:U66"/>
    <mergeCell ref="S67:U67"/>
    <mergeCell ref="S68:U68"/>
    <mergeCell ref="S69:U69"/>
    <mergeCell ref="S70:U70"/>
    <mergeCell ref="S71:U71"/>
    <mergeCell ref="S72:U72"/>
    <mergeCell ref="S73:U73"/>
    <mergeCell ref="S74:U74"/>
    <mergeCell ref="S75:U75"/>
    <mergeCell ref="S76:U76"/>
    <mergeCell ref="S77:U77"/>
    <mergeCell ref="S78:U78"/>
    <mergeCell ref="S79:U79"/>
    <mergeCell ref="S80:U80"/>
    <mergeCell ref="S81:U81"/>
    <mergeCell ref="S82:U82"/>
    <mergeCell ref="S83:U83"/>
    <mergeCell ref="S84:U84"/>
    <mergeCell ref="S85:U85"/>
    <mergeCell ref="S86:U86"/>
    <mergeCell ref="S87:U87"/>
    <mergeCell ref="S88:U88"/>
    <mergeCell ref="S89:U89"/>
    <mergeCell ref="S90:U90"/>
    <mergeCell ref="S91:U91"/>
    <mergeCell ref="S92:U92"/>
    <mergeCell ref="S93:U93"/>
    <mergeCell ref="S94:U94"/>
    <mergeCell ref="S95:U95"/>
    <mergeCell ref="I103:K103"/>
    <mergeCell ref="D104:E104"/>
    <mergeCell ref="F104:H104"/>
    <mergeCell ref="I104:K104"/>
    <mergeCell ref="D105:E105"/>
    <mergeCell ref="F105:H105"/>
    <mergeCell ref="I105:K105"/>
    <mergeCell ref="D106:E106"/>
    <mergeCell ref="F106:H106"/>
    <mergeCell ref="I106:K106"/>
    <mergeCell ref="N100:O100"/>
    <mergeCell ref="P100:R100"/>
    <mergeCell ref="S100:U100"/>
    <mergeCell ref="N101:O101"/>
    <mergeCell ref="P101:R101"/>
    <mergeCell ref="S101:U101"/>
    <mergeCell ref="N102:O102"/>
    <mergeCell ref="P102:R102"/>
    <mergeCell ref="S102:U102"/>
    <mergeCell ref="N106:O106"/>
    <mergeCell ref="P106:R106"/>
    <mergeCell ref="S106:U106"/>
    <mergeCell ref="N103:O103"/>
    <mergeCell ref="P103:R103"/>
    <mergeCell ref="S103:U103"/>
    <mergeCell ref="N104:O104"/>
    <mergeCell ref="P104:R104"/>
    <mergeCell ref="S104:U104"/>
    <mergeCell ref="N105:O105"/>
    <mergeCell ref="P105:R105"/>
    <mergeCell ref="S105:U105"/>
  </mergeCells>
  <phoneticPr fontId="3" type="noConversion"/>
  <conditionalFormatting sqref="B34 D34 B40:U47 F48:F106 I48:I106 B48:D107 J107:J108 C108:D108 B108:B109 C109:U109 B110:U122 B123:B150 B173:U1048576">
    <cfRule type="expression" dxfId="22" priority="7" stopIfTrue="1">
      <formula>AND($B34&lt;&gt;"",OR(MOD($B34,10)&gt;5,MOD($B34,10)=0))</formula>
    </cfRule>
  </conditionalFormatting>
  <conditionalFormatting sqref="B36 D36 H36">
    <cfRule type="expression" dxfId="21" priority="3" stopIfTrue="1">
      <formula>AND($B36&lt;&gt;"",OR(MOD($B36,10)&gt;5,MOD($B36,10)=0))</formula>
    </cfRule>
  </conditionalFormatting>
  <conditionalFormatting sqref="B38 D38">
    <cfRule type="expression" dxfId="20" priority="2" stopIfTrue="1">
      <formula>AND($B38&lt;&gt;"",OR(MOD($B38,10)&gt;5,MOD($B38,10)=0))</formula>
    </cfRule>
  </conditionalFormatting>
  <conditionalFormatting sqref="B1:U3 B4:G4 I4:U4 D21:E21 E22:E30 B152:B172">
    <cfRule type="expression" dxfId="19" priority="62" stopIfTrue="1">
      <formula>AND($B1&lt;&gt;"",OR(MOD($B1,10)&gt;5,MOD($B1,10)=0))</formula>
    </cfRule>
  </conditionalFormatting>
  <conditionalFormatting sqref="B7:U19 B21 H21 V21 B23 B25 B30 B32">
    <cfRule type="expression" dxfId="18" priority="26" stopIfTrue="1">
      <formula>AND($B7&lt;&gt;"",OR(MOD($B7,10)&gt;5,MOD($B7,10)=0))</formula>
    </cfRule>
  </conditionalFormatting>
  <conditionalFormatting sqref="C125:U125 C127:U128 C130:U134 C139:U141">
    <cfRule type="expression" dxfId="16" priority="81" stopIfTrue="1">
      <formula>AND($B123&lt;&gt;"",OR(MOD($B123,10)&gt;5,MOD($B123,10)=0))</formula>
    </cfRule>
  </conditionalFormatting>
  <conditionalFormatting sqref="C129:U129">
    <cfRule type="expression" dxfId="15" priority="118" stopIfTrue="1">
      <formula>AND($B124&lt;&gt;"",OR(MOD($B124,10)&gt;5,MOD($B124,10)=0))</formula>
    </cfRule>
  </conditionalFormatting>
  <conditionalFormatting sqref="C135:U137 C142:U142">
    <cfRule type="expression" dxfId="14" priority="146" stopIfTrue="1">
      <formula>AND($B134&lt;&gt;"",OR(MOD($B134,10)&gt;5,MOD($B134,10)=0))</formula>
    </cfRule>
  </conditionalFormatting>
  <conditionalFormatting sqref="C138:U138">
    <cfRule type="expression" dxfId="13" priority="157" stopIfTrue="1">
      <formula>AND(#REF!&lt;&gt;"",OR(MOD(#REF!,10)&gt;5,MOD(#REF!,10)=0))</formula>
    </cfRule>
  </conditionalFormatting>
  <conditionalFormatting sqref="C172:U172">
    <cfRule type="expression" dxfId="12" priority="150" stopIfTrue="1">
      <formula>AND(#REF!&lt;&gt;"",OR(MOD(#REF!,10)&gt;5,MOD(#REF!,10)=0))</formula>
    </cfRule>
  </conditionalFormatting>
  <conditionalFormatting sqref="D23">
    <cfRule type="expression" dxfId="11" priority="24" stopIfTrue="1">
      <formula>AND($B23&lt;&gt;"",OR(MOD($B23,10)&gt;5,MOD($B23,10)=0))</formula>
    </cfRule>
  </conditionalFormatting>
  <conditionalFormatting sqref="D25">
    <cfRule type="expression" dxfId="10" priority="21" stopIfTrue="1">
      <formula>AND($B25&lt;&gt;"",OR(MOD($B25,10)&gt;5,MOD($B25,10)=0))</formula>
    </cfRule>
  </conditionalFormatting>
  <conditionalFormatting sqref="D27:D29">
    <cfRule type="expression" dxfId="9" priority="12" stopIfTrue="1">
      <formula>AND($B27&lt;&gt;"",OR(MOD($B27,10)&gt;5,MOD($B27,10)=0))</formula>
    </cfRule>
  </conditionalFormatting>
  <conditionalFormatting sqref="D32 C151:U171">
    <cfRule type="expression" dxfId="8" priority="109" stopIfTrue="1">
      <formula>AND($B33&lt;&gt;"",OR(MOD($B33,10)&gt;5,MOD($B33,10)=0))</formula>
    </cfRule>
  </conditionalFormatting>
  <conditionalFormatting sqref="H23 H30 C126:U126 C143:U150">
    <cfRule type="expression" dxfId="7" priority="85" stopIfTrue="1">
      <formula>AND(#REF!&lt;&gt;"",OR(MOD(#REF!,10)&gt;5,MOD(#REF!,10)=0))</formula>
    </cfRule>
  </conditionalFormatting>
  <conditionalFormatting sqref="H23">
    <cfRule type="expression" dxfId="6" priority="93" stopIfTrue="1">
      <formula>AND($B23&lt;&gt;"",OR(MOD($B23,10)&gt;5,MOD($B23,10)=0))</formula>
    </cfRule>
    <cfRule type="expression" dxfId="5" priority="112" stopIfTrue="1">
      <formula>AND($B32&lt;&gt;"",OR(MOD($B32,10)&gt;5,MOD($B32,10)=0))</formula>
    </cfRule>
  </conditionalFormatting>
  <conditionalFormatting sqref="H25">
    <cfRule type="expression" dxfId="4" priority="16" stopIfTrue="1">
      <formula>AND(#REF!&lt;&gt;"",OR(MOD(#REF!,10)&gt;5,MOD(#REF!,10)=0))</formula>
    </cfRule>
    <cfRule type="expression" dxfId="3" priority="17" stopIfTrue="1">
      <formula>AND($B25&lt;&gt;"",OR(MOD($B25,10)&gt;5,MOD($B25,10)=0))</formula>
    </cfRule>
    <cfRule type="expression" dxfId="2" priority="18" stopIfTrue="1">
      <formula>AND($B29&lt;&gt;"",OR(MOD($B29,10)&gt;5,MOD($B29,10)=0))</formula>
    </cfRule>
  </conditionalFormatting>
  <conditionalFormatting sqref="L48:N106 S48:S106 P48:P108">
    <cfRule type="expression" dxfId="1" priority="1" stopIfTrue="1">
      <formula>AND($B48&lt;&gt;"",OR(MOD($B48,10)&gt;5,MOD($B48,10)=0))</formula>
    </cfRule>
  </conditionalFormatting>
  <conditionalFormatting sqref="U47 B5:B6 M5:U6 C123:U124">
    <cfRule type="expression" dxfId="0" priority="76" stopIfTrue="1">
      <formula>AND(#REF!&lt;&gt;"",OR(MOD(#REF!,10)&gt;5,MOD(#REF!,10)=0))</formula>
    </cfRule>
  </conditionalFormatting>
  <printOptions horizontalCentered="1" verticalCentered="1"/>
  <pageMargins left="0.19685039370078741" right="0.19685039370078741" top="0.19685039370078741" bottom="0.19685039370078741" header="0.51181102362204722" footer="0.23622047244094491"/>
  <pageSetup paperSize="9" scale="93" fitToHeight="6" orientation="portrait" horizontalDpi="1200" verticalDpi="1200" r:id="rId1"/>
  <headerFooter alignWithMargins="0">
    <oddFooter>&amp;L&amp;9第&amp;"Arial,標準"&amp;P&amp;"新細明體,標準"頁&amp;"Arial,標準"/&amp;"新細明體,標準"共&amp;"Arial,標準"&amp;N&amp;"新細明體,標準"頁</oddFooter>
  </headerFooter>
  <extLst>
    <ext xmlns:x14="http://schemas.microsoft.com/office/spreadsheetml/2009/9/main" uri="{78C0D931-6437-407d-A8EE-F0AAD7539E65}">
      <x14:conditionalFormattings>
        <x14:conditionalFormatting xmlns:xm="http://schemas.microsoft.com/office/excel/2006/main">
          <x14:cfRule type="expression" priority="73" stopIfTrue="1" id="{50477293-4F1D-4DBF-A7E2-CC8324D52CF8}">
            <xm:f>OP!$C$69&lt;&gt;"錠嵂保經"</xm:f>
            <x14:dxf>
              <font>
                <color theme="0"/>
              </font>
              <fill>
                <patternFill>
                  <bgColor theme="0"/>
                </patternFill>
              </fill>
              <border>
                <left/>
                <right/>
                <top/>
                <bottom/>
              </border>
            </x14:dxf>
          </x14:cfRule>
          <xm:sqref>B221:U228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具名範圍</vt:lpstr>
      </vt:variant>
      <vt:variant>
        <vt:i4>23</vt:i4>
      </vt:variant>
    </vt:vector>
  </HeadingPairs>
  <TitlesOfParts>
    <vt:vector size="25" baseType="lpstr">
      <vt:lpstr>輸入頁</vt:lpstr>
      <vt:lpstr>列印頁</vt:lpstr>
      <vt:lpstr>BD</vt:lpstr>
      <vt:lpstr>BGP</vt:lpstr>
      <vt:lpstr>CV</vt:lpstr>
      <vt:lpstr>DIE</vt:lpstr>
      <vt:lpstr>EXP</vt:lpstr>
      <vt:lpstr>GP</vt:lpstr>
      <vt:lpstr>IN</vt:lpstr>
      <vt:lpstr>MGP</vt:lpstr>
      <vt:lpstr>PA</vt:lpstr>
      <vt:lpstr>PI</vt:lpstr>
      <vt:lpstr>PM</vt:lpstr>
      <vt:lpstr>列印頁!Print_Area</vt:lpstr>
      <vt:lpstr>輸入頁!Print_Area</vt:lpstr>
      <vt:lpstr>PVal</vt:lpstr>
      <vt:lpstr>SEX</vt:lpstr>
      <vt:lpstr>WORDING</vt:lpstr>
      <vt:lpstr>WORDINGP</vt:lpstr>
      <vt:lpstr>YPN</vt:lpstr>
      <vt:lpstr>主約1</vt:lpstr>
      <vt:lpstr>保額倍數</vt:lpstr>
      <vt:lpstr>繳</vt:lpstr>
      <vt:lpstr>繳別首</vt:lpstr>
      <vt:lpstr>繳別續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吳幸旻</dc:creator>
  <cp:lastModifiedBy>謝念樺</cp:lastModifiedBy>
  <cp:lastPrinted>2026-01-27T00:56:19Z</cp:lastPrinted>
  <dcterms:created xsi:type="dcterms:W3CDTF">2006-07-31T15:34:04Z</dcterms:created>
  <dcterms:modified xsi:type="dcterms:W3CDTF">2026-08-06T00:46:04Z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cbd3ca4-59a6-410d-ba5b-98e306109a39_Enabled">
    <vt:lpwstr>true</vt:lpwstr>
  </property>
  <property fmtid="{D5CDD505-2E9C-101B-9397-08002B2CF9AE}" pid="3" name="MSIP_Label_1cbd3ca4-59a6-410d-ba5b-98e306109a39_SetDate">
    <vt:lpwstr>2026-04-09T01:07:01Z</vt:lpwstr>
  </property>
  <property fmtid="{D5CDD505-2E9C-101B-9397-08002B2CF9AE}" pid="4" name="MSIP_Label_1cbd3ca4-59a6-410d-ba5b-98e306109a39_Method">
    <vt:lpwstr>Standard</vt:lpwstr>
  </property>
  <property fmtid="{D5CDD505-2E9C-101B-9397-08002B2CF9AE}" pid="5" name="MSIP_Label_1cbd3ca4-59a6-410d-ba5b-98e306109a39_Name">
    <vt:lpwstr>一般使用</vt:lpwstr>
  </property>
  <property fmtid="{D5CDD505-2E9C-101B-9397-08002B2CF9AE}" pid="6" name="MSIP_Label_1cbd3ca4-59a6-410d-ba5b-98e306109a39_SiteId">
    <vt:lpwstr>911b2369-1105-4da8-ac47-cd9e1a690d42</vt:lpwstr>
  </property>
  <property fmtid="{D5CDD505-2E9C-101B-9397-08002B2CF9AE}" pid="7" name="MSIP_Label_1cbd3ca4-59a6-410d-ba5b-98e306109a39_ActionId">
    <vt:lpwstr>b40e570c-cb93-4780-ab9b-e7c6a6dd50a1</vt:lpwstr>
  </property>
  <property fmtid="{D5CDD505-2E9C-101B-9397-08002B2CF9AE}" pid="8" name="MSIP_Label_1cbd3ca4-59a6-410d-ba5b-98e306109a39_ContentBits">
    <vt:lpwstr>0</vt:lpwstr>
  </property>
  <property fmtid="{D5CDD505-2E9C-101B-9397-08002B2CF9AE}" pid="9" name="MSIP_Label_1cbd3ca4-59a6-410d-ba5b-98e306109a39_Tag">
    <vt:lpwstr>10, 3, 0, 1</vt:lpwstr>
  </property>
</Properties>
</file>